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wealth_tax/"/>
    </mc:Choice>
  </mc:AlternateContent>
  <xr:revisionPtr revIDLastSave="0" documentId="13_ncr:1_{5A1CD616-FA7D-9E45-8B9A-83B85A5CAC2C}" xr6:coauthVersionLast="47" xr6:coauthVersionMax="47" xr10:uidLastSave="{00000000-0000-0000-0000-000000000000}"/>
  <bookViews>
    <workbookView xWindow="1160" yWindow="1320" windowWidth="27640" windowHeight="16680" xr2:uid="{DF18EB8C-62AB-9F48-A3D3-B2EAD614B54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B64" i="1"/>
  <c r="B63" i="1"/>
  <c r="B62" i="1"/>
  <c r="C61" i="1"/>
  <c r="D61" i="1" s="1"/>
  <c r="B61" i="1"/>
  <c r="B60" i="1"/>
  <c r="B59" i="1"/>
  <c r="B58" i="1"/>
  <c r="B57" i="1"/>
  <c r="B56" i="1"/>
  <c r="A50" i="1"/>
  <c r="C49" i="1"/>
  <c r="D49" i="1" s="1"/>
  <c r="B49" i="1"/>
  <c r="A49" i="1"/>
  <c r="A48" i="1"/>
  <c r="A43" i="1"/>
  <c r="A42" i="1"/>
  <c r="A41" i="1"/>
  <c r="A37" i="1"/>
  <c r="A35" i="1"/>
  <c r="B33" i="1"/>
  <c r="B24" i="1"/>
  <c r="C48" i="1" s="1"/>
  <c r="D48" i="1" s="1"/>
  <c r="B23" i="1"/>
  <c r="C63" i="1" s="1"/>
  <c r="D63" i="1" s="1"/>
  <c r="B19" i="1"/>
  <c r="B18" i="1"/>
  <c r="C42" i="1" s="1"/>
  <c r="D42" i="1" s="1"/>
  <c r="B14" i="1"/>
  <c r="B8" i="1"/>
  <c r="B13" i="1" s="1"/>
  <c r="C41" i="1" l="1"/>
  <c r="D41" i="1" s="1"/>
  <c r="C62" i="1"/>
  <c r="D62" i="1" s="1"/>
  <c r="B42" i="1"/>
  <c r="C35" i="1"/>
  <c r="D35" i="1" s="1"/>
  <c r="C56" i="1"/>
  <c r="D56" i="1" s="1"/>
  <c r="D33" i="1"/>
  <c r="C58" i="1"/>
  <c r="D58" i="1" s="1"/>
  <c r="C57" i="1"/>
  <c r="D57" i="1" s="1"/>
  <c r="C36" i="1"/>
  <c r="D36" i="1" s="1"/>
  <c r="C43" i="1"/>
  <c r="D43" i="1" s="1"/>
  <c r="C59" i="1"/>
  <c r="D59" i="1" s="1"/>
  <c r="B37" i="1"/>
  <c r="B50" i="1"/>
  <c r="C50" i="1"/>
  <c r="D50" i="1" s="1"/>
  <c r="B35" i="1"/>
  <c r="B41" i="1"/>
  <c r="B48" i="1"/>
  <c r="C60" i="1"/>
  <c r="D60" i="1" s="1"/>
  <c r="C64" i="1"/>
  <c r="D64" i="1" s="1"/>
  <c r="B36" i="1"/>
  <c r="B43" i="1"/>
  <c r="C37" i="1"/>
  <c r="D37" i="1" s="1"/>
</calcChain>
</file>

<file path=xl/sharedStrings.xml><?xml version="1.0" encoding="utf-8"?>
<sst xmlns="http://schemas.openxmlformats.org/spreadsheetml/2006/main" count="60" uniqueCount="36">
  <si>
    <t>NPV Calculator: Billionaire Tax Act</t>
  </si>
  <si>
    <t>INPUTS</t>
  </si>
  <si>
    <t>Baseline wealth tax revenue (no departures)</t>
  </si>
  <si>
    <t>$B</t>
  </si>
  <si>
    <t>Annual income tax contribution, Upper (C_U)</t>
  </si>
  <si>
    <t>Annual income tax contribution, Lower (C_L)</t>
  </si>
  <si>
    <t>Annual income tax contribution, Midpoint (C)</t>
  </si>
  <si>
    <t>SCENARIO INPUTS</t>
  </si>
  <si>
    <t>Scenario 1: Midpoint (Likely)</t>
  </si>
  <si>
    <t xml:space="preserve">  Wealth tax revenue (WT)</t>
  </si>
  <si>
    <t xml:space="preserve">  Income tax estimate (C)</t>
  </si>
  <si>
    <t xml:space="preserve">  Implied departure fraction (f)</t>
  </si>
  <si>
    <t>Scenario 2: Most Favorable for Proponents</t>
  </si>
  <si>
    <t>Scenario 3: Least Favorable for Proponents</t>
  </si>
  <si>
    <t>Discount Rates (real)</t>
  </si>
  <si>
    <t xml:space="preserve">  r1</t>
  </si>
  <si>
    <t xml:space="preserve">  r2</t>
  </si>
  <si>
    <t xml:space="preserve">  r3</t>
  </si>
  <si>
    <t>SCENARIO 1: MIDPOINT (LIKELY)</t>
  </si>
  <si>
    <t>WT =</t>
  </si>
  <si>
    <t>C =</t>
  </si>
  <si>
    <t>Discount Rate</t>
  </si>
  <si>
    <t>f·C (Annual Loss)</t>
  </si>
  <si>
    <t>PV of Lost Income Tax</t>
  </si>
  <si>
    <t>NPV</t>
  </si>
  <si>
    <t>SCENARIO 2: MOST FAVORABLE FOR PROPONENTS</t>
  </si>
  <si>
    <t>SCENARIO 3: LEAST FAVORABLE FOR PROPONENTS</t>
  </si>
  <si>
    <t>BREAK-EVEN ANALYSIS</t>
  </si>
  <si>
    <t>x* = (WT × r) / C</t>
  </si>
  <si>
    <t>Scenario</t>
  </si>
  <si>
    <t>Break-Even %</t>
  </si>
  <si>
    <t># of 214</t>
  </si>
  <si>
    <t>Midpoint</t>
  </si>
  <si>
    <t>Most Favorable</t>
  </si>
  <si>
    <t>Least Favorable</t>
  </si>
  <si>
    <t>Jaros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</si>
</sst>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\$#,##0.0"/>
    <numFmt numFmtId="167" formatCode="\$#,##0.0;&quot;($&quot;#,##0.0\);\-"/>
  </numFmts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B3173C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3173C"/>
        <bgColor rgb="FF99336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/>
    <xf numFmtId="164" fontId="2" fillId="0" borderId="0" xfId="0" applyNumberFormat="1" applyFont="1"/>
    <xf numFmtId="0" fontId="5" fillId="0" borderId="0" xfId="0" applyFont="1"/>
    <xf numFmtId="165" fontId="2" fillId="0" borderId="0" xfId="0" applyNumberFormat="1" applyFont="1"/>
    <xf numFmtId="165" fontId="4" fillId="2" borderId="0" xfId="0" applyNumberFormat="1" applyFont="1" applyFill="1"/>
    <xf numFmtId="164" fontId="0" fillId="0" borderId="0" xfId="0" applyNumberFormat="1"/>
    <xf numFmtId="0" fontId="6" fillId="3" borderId="0" xfId="0" applyFont="1" applyFill="1" applyAlignment="1">
      <alignment horizontal="center"/>
    </xf>
    <xf numFmtId="166" fontId="2" fillId="0" borderId="0" xfId="0" applyNumberFormat="1" applyFont="1"/>
    <xf numFmtId="167" fontId="2" fillId="0" borderId="0" xfId="0" applyNumberFormat="1" applyFont="1"/>
    <xf numFmtId="3" fontId="2" fillId="0" borderId="0" xfId="0" applyNumberFormat="1" applyFont="1"/>
    <xf numFmtId="0" fontId="2" fillId="4" borderId="0" xfId="0" applyFont="1" applyFill="1"/>
    <xf numFmtId="165" fontId="2" fillId="4" borderId="0" xfId="0" applyNumberFormat="1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70F9-AEE9-2843-8BFB-8148A80F40EB}">
  <dimension ref="A1:D64"/>
  <sheetViews>
    <sheetView tabSelected="1" topLeftCell="A30" workbookViewId="0">
      <selection activeCell="B30" sqref="B30"/>
    </sheetView>
  </sheetViews>
  <sheetFormatPr baseColWidth="10" defaultRowHeight="16" x14ac:dyDescent="0.2"/>
  <cols>
    <col min="1" max="1" width="54.6640625" bestFit="1" customWidth="1"/>
    <col min="2" max="2" width="16.6640625" bestFit="1" customWidth="1"/>
    <col min="3" max="3" width="21.1640625" bestFit="1" customWidth="1"/>
    <col min="4" max="4" width="8" bestFit="1" customWidth="1"/>
  </cols>
  <sheetData>
    <row r="1" spans="1:3" ht="18" x14ac:dyDescent="0.2">
      <c r="A1" s="1" t="s">
        <v>0</v>
      </c>
    </row>
    <row r="2" spans="1:3" x14ac:dyDescent="0.2">
      <c r="A2" s="2" t="s">
        <v>35</v>
      </c>
    </row>
    <row r="4" spans="1:3" x14ac:dyDescent="0.2">
      <c r="A4" s="3" t="s">
        <v>1</v>
      </c>
    </row>
    <row r="5" spans="1:3" x14ac:dyDescent="0.2">
      <c r="A5" s="2" t="s">
        <v>2</v>
      </c>
      <c r="B5" s="4">
        <v>107.04</v>
      </c>
      <c r="C5" s="2" t="s">
        <v>3</v>
      </c>
    </row>
    <row r="6" spans="1:3" x14ac:dyDescent="0.2">
      <c r="A6" s="2" t="s">
        <v>4</v>
      </c>
      <c r="B6" s="4">
        <v>5.8</v>
      </c>
      <c r="C6" s="2" t="s">
        <v>3</v>
      </c>
    </row>
    <row r="7" spans="1:3" x14ac:dyDescent="0.2">
      <c r="A7" s="2" t="s">
        <v>5</v>
      </c>
      <c r="B7" s="4">
        <v>4.9000000000000004</v>
      </c>
      <c r="C7" s="2" t="s">
        <v>3</v>
      </c>
    </row>
    <row r="8" spans="1:3" x14ac:dyDescent="0.2">
      <c r="A8" s="2" t="s">
        <v>6</v>
      </c>
      <c r="B8" s="5">
        <f>AVERAGE(B6,B7)</f>
        <v>5.35</v>
      </c>
      <c r="C8" s="2" t="s">
        <v>3</v>
      </c>
    </row>
    <row r="10" spans="1:3" x14ac:dyDescent="0.2">
      <c r="A10" s="3" t="s">
        <v>7</v>
      </c>
    </row>
    <row r="11" spans="1:3" x14ac:dyDescent="0.2">
      <c r="A11" s="6" t="s">
        <v>8</v>
      </c>
    </row>
    <row r="12" spans="1:3" x14ac:dyDescent="0.2">
      <c r="A12" s="2" t="s">
        <v>9</v>
      </c>
      <c r="B12" s="4">
        <v>48</v>
      </c>
    </row>
    <row r="13" spans="1:3" x14ac:dyDescent="0.2">
      <c r="A13" s="2" t="s">
        <v>10</v>
      </c>
      <c r="B13" s="5">
        <f>B8</f>
        <v>5.35</v>
      </c>
    </row>
    <row r="14" spans="1:3" x14ac:dyDescent="0.2">
      <c r="A14" s="2" t="s">
        <v>11</v>
      </c>
      <c r="B14" s="7">
        <f>1-(B12/B5)</f>
        <v>0.55156950672645744</v>
      </c>
    </row>
    <row r="16" spans="1:3" x14ac:dyDescent="0.2">
      <c r="A16" s="6" t="s">
        <v>12</v>
      </c>
    </row>
    <row r="17" spans="1:2" x14ac:dyDescent="0.2">
      <c r="A17" s="2" t="s">
        <v>9</v>
      </c>
      <c r="B17" s="4">
        <v>66.06</v>
      </c>
    </row>
    <row r="18" spans="1:2" x14ac:dyDescent="0.2">
      <c r="A18" s="2" t="s">
        <v>10</v>
      </c>
      <c r="B18" s="5">
        <f>B7</f>
        <v>4.9000000000000004</v>
      </c>
    </row>
    <row r="19" spans="1:2" x14ac:dyDescent="0.2">
      <c r="A19" s="2" t="s">
        <v>11</v>
      </c>
      <c r="B19" s="7">
        <f>1-(B17/B5)</f>
        <v>0.38284753363228696</v>
      </c>
    </row>
    <row r="21" spans="1:2" x14ac:dyDescent="0.2">
      <c r="A21" s="6" t="s">
        <v>13</v>
      </c>
    </row>
    <row r="22" spans="1:2" x14ac:dyDescent="0.2">
      <c r="A22" s="2" t="s">
        <v>9</v>
      </c>
      <c r="B22" s="4">
        <v>44</v>
      </c>
    </row>
    <row r="23" spans="1:2" x14ac:dyDescent="0.2">
      <c r="A23" s="2" t="s">
        <v>10</v>
      </c>
      <c r="B23" s="5">
        <f>B6</f>
        <v>5.8</v>
      </c>
    </row>
    <row r="24" spans="1:2" x14ac:dyDescent="0.2">
      <c r="A24" s="2" t="s">
        <v>11</v>
      </c>
      <c r="B24" s="7">
        <f>1-(B22/B5)</f>
        <v>0.58893871449925261</v>
      </c>
    </row>
    <row r="26" spans="1:2" x14ac:dyDescent="0.2">
      <c r="A26" s="6" t="s">
        <v>14</v>
      </c>
    </row>
    <row r="27" spans="1:2" x14ac:dyDescent="0.2">
      <c r="A27" s="2" t="s">
        <v>15</v>
      </c>
      <c r="B27" s="8">
        <v>1.4999999999999999E-2</v>
      </c>
    </row>
    <row r="28" spans="1:2" x14ac:dyDescent="0.2">
      <c r="A28" s="2" t="s">
        <v>16</v>
      </c>
      <c r="B28" s="8">
        <v>0.03</v>
      </c>
    </row>
    <row r="29" spans="1:2" x14ac:dyDescent="0.2">
      <c r="A29" s="2" t="s">
        <v>17</v>
      </c>
      <c r="B29" s="8">
        <v>4.4999999999999998E-2</v>
      </c>
    </row>
    <row r="32" spans="1:2" x14ac:dyDescent="0.2">
      <c r="A32" s="3" t="s">
        <v>18</v>
      </c>
    </row>
    <row r="33" spans="1:4" x14ac:dyDescent="0.2">
      <c r="A33" s="2" t="s">
        <v>19</v>
      </c>
      <c r="B33" s="9">
        <f>B12</f>
        <v>48</v>
      </c>
      <c r="C33" s="2" t="s">
        <v>20</v>
      </c>
      <c r="D33" s="9">
        <f>B13</f>
        <v>5.35</v>
      </c>
    </row>
    <row r="34" spans="1:4" x14ac:dyDescent="0.2">
      <c r="A34" s="10" t="s">
        <v>21</v>
      </c>
      <c r="B34" s="10" t="s">
        <v>22</v>
      </c>
      <c r="C34" s="10" t="s">
        <v>23</v>
      </c>
      <c r="D34" s="10" t="s">
        <v>24</v>
      </c>
    </row>
    <row r="35" spans="1:4" x14ac:dyDescent="0.2">
      <c r="A35" s="7">
        <f>B27</f>
        <v>1.4999999999999999E-2</v>
      </c>
      <c r="B35" s="5">
        <f>B14*B13</f>
        <v>2.9508968609865471</v>
      </c>
      <c r="C35" s="11">
        <f>B14*B13/B27</f>
        <v>196.72645739910314</v>
      </c>
      <c r="D35" s="12">
        <f>B12-C35</f>
        <v>-148.72645739910314</v>
      </c>
    </row>
    <row r="36" spans="1:4" x14ac:dyDescent="0.2">
      <c r="A36" s="7">
        <f>B28</f>
        <v>0.03</v>
      </c>
      <c r="B36" s="5">
        <f>B14*B13</f>
        <v>2.9508968609865471</v>
      </c>
      <c r="C36" s="11">
        <f>B14*B13/B28</f>
        <v>98.36322869955157</v>
      </c>
      <c r="D36" s="12">
        <f>B12-C36</f>
        <v>-50.36322869955157</v>
      </c>
    </row>
    <row r="37" spans="1:4" x14ac:dyDescent="0.2">
      <c r="A37" s="7">
        <f>B29</f>
        <v>4.4999999999999998E-2</v>
      </c>
      <c r="B37" s="5">
        <f>B14*B13</f>
        <v>2.9508968609865471</v>
      </c>
      <c r="C37" s="11">
        <f>B14*B13/B29</f>
        <v>65.575485799701056</v>
      </c>
      <c r="D37" s="12">
        <f>B12-C37</f>
        <v>-17.575485799701056</v>
      </c>
    </row>
    <row r="39" spans="1:4" x14ac:dyDescent="0.2">
      <c r="A39" s="3" t="s">
        <v>25</v>
      </c>
    </row>
    <row r="40" spans="1:4" x14ac:dyDescent="0.2">
      <c r="A40" s="10" t="s">
        <v>21</v>
      </c>
      <c r="B40" s="10" t="s">
        <v>22</v>
      </c>
      <c r="C40" s="10" t="s">
        <v>23</v>
      </c>
      <c r="D40" s="10" t="s">
        <v>24</v>
      </c>
    </row>
    <row r="41" spans="1:4" x14ac:dyDescent="0.2">
      <c r="A41" s="7">
        <f>B27</f>
        <v>1.4999999999999999E-2</v>
      </c>
      <c r="B41" s="5">
        <f>B19*B18</f>
        <v>1.8759529147982064</v>
      </c>
      <c r="C41" s="11">
        <f>B19*B18/B27</f>
        <v>125.06352765321377</v>
      </c>
      <c r="D41" s="12">
        <f>B17-C41</f>
        <v>-59.003527653213766</v>
      </c>
    </row>
    <row r="42" spans="1:4" x14ac:dyDescent="0.2">
      <c r="A42" s="7">
        <f>B28</f>
        <v>0.03</v>
      </c>
      <c r="B42" s="5">
        <f>B19*B18</f>
        <v>1.8759529147982064</v>
      </c>
      <c r="C42" s="11">
        <f>B19*B18/B28</f>
        <v>62.531763826606884</v>
      </c>
      <c r="D42" s="12">
        <f>B17-C42</f>
        <v>3.5282361733931182</v>
      </c>
    </row>
    <row r="43" spans="1:4" x14ac:dyDescent="0.2">
      <c r="A43" s="7">
        <f>B29</f>
        <v>4.4999999999999998E-2</v>
      </c>
      <c r="B43" s="5">
        <f>B19*B18</f>
        <v>1.8759529147982064</v>
      </c>
      <c r="C43" s="11">
        <f>B19*B18/B29</f>
        <v>41.687842551071256</v>
      </c>
      <c r="D43" s="12">
        <f>B17-C43</f>
        <v>24.372157448928746</v>
      </c>
    </row>
    <row r="46" spans="1:4" x14ac:dyDescent="0.2">
      <c r="A46" s="3" t="s">
        <v>26</v>
      </c>
    </row>
    <row r="47" spans="1:4" x14ac:dyDescent="0.2">
      <c r="A47" s="10" t="s">
        <v>21</v>
      </c>
      <c r="B47" s="10" t="s">
        <v>22</v>
      </c>
      <c r="C47" s="10" t="s">
        <v>23</v>
      </c>
      <c r="D47" s="10" t="s">
        <v>24</v>
      </c>
    </row>
    <row r="48" spans="1:4" x14ac:dyDescent="0.2">
      <c r="A48" s="7">
        <f>B27</f>
        <v>1.4999999999999999E-2</v>
      </c>
      <c r="B48" s="5">
        <f>B24*B23</f>
        <v>3.4158445440956648</v>
      </c>
      <c r="C48" s="11">
        <f>B24*B23/B27</f>
        <v>227.72296960637766</v>
      </c>
      <c r="D48" s="12">
        <f>B22-C48</f>
        <v>-183.72296960637766</v>
      </c>
    </row>
    <row r="49" spans="1:4" x14ac:dyDescent="0.2">
      <c r="A49" s="7">
        <f>B28</f>
        <v>0.03</v>
      </c>
      <c r="B49" s="5">
        <f>B24*B23</f>
        <v>3.4158445440956648</v>
      </c>
      <c r="C49" s="11">
        <f>B24*B23/B28</f>
        <v>113.86148480318883</v>
      </c>
      <c r="D49" s="12">
        <f>B22-C49</f>
        <v>-69.86148480318883</v>
      </c>
    </row>
    <row r="50" spans="1:4" x14ac:dyDescent="0.2">
      <c r="A50" s="7">
        <f>B29</f>
        <v>4.4999999999999998E-2</v>
      </c>
      <c r="B50" s="5">
        <f>B24*B23</f>
        <v>3.4158445440956648</v>
      </c>
      <c r="C50" s="11">
        <f>B24*B23/B29</f>
        <v>75.907656535459225</v>
      </c>
      <c r="D50" s="12">
        <f>B22-C50</f>
        <v>-31.907656535459225</v>
      </c>
    </row>
    <row r="52" spans="1:4" x14ac:dyDescent="0.2">
      <c r="A52" s="3" t="s">
        <v>27</v>
      </c>
    </row>
    <row r="53" spans="1:4" x14ac:dyDescent="0.2">
      <c r="A53" s="2" t="s">
        <v>28</v>
      </c>
    </row>
    <row r="55" spans="1:4" x14ac:dyDescent="0.2">
      <c r="A55" s="10" t="s">
        <v>29</v>
      </c>
      <c r="B55" s="10" t="s">
        <v>21</v>
      </c>
      <c r="C55" s="10" t="s">
        <v>30</v>
      </c>
      <c r="D55" s="10" t="s">
        <v>31</v>
      </c>
    </row>
    <row r="56" spans="1:4" x14ac:dyDescent="0.2">
      <c r="A56" s="2" t="s">
        <v>32</v>
      </c>
      <c r="B56" s="7">
        <f>B27</f>
        <v>1.4999999999999999E-2</v>
      </c>
      <c r="C56" s="7">
        <f>(B12*B27)/B13</f>
        <v>0.13457943925233645</v>
      </c>
      <c r="D56" s="13">
        <f t="shared" ref="D56:D64" si="0">C56*214</f>
        <v>28.8</v>
      </c>
    </row>
    <row r="57" spans="1:4" x14ac:dyDescent="0.2">
      <c r="A57" s="14" t="s">
        <v>32</v>
      </c>
      <c r="B57" s="15">
        <f>B28</f>
        <v>0.03</v>
      </c>
      <c r="C57" s="15">
        <f>(B12*B28)/B13</f>
        <v>0.2691588785046729</v>
      </c>
      <c r="D57" s="16">
        <f t="shared" si="0"/>
        <v>57.6</v>
      </c>
    </row>
    <row r="58" spans="1:4" x14ac:dyDescent="0.2">
      <c r="A58" s="2" t="s">
        <v>32</v>
      </c>
      <c r="B58" s="7">
        <f>B29</f>
        <v>4.4999999999999998E-2</v>
      </c>
      <c r="C58" s="7">
        <f>(B12*B29)/B13</f>
        <v>0.40373831775700941</v>
      </c>
      <c r="D58" s="13">
        <f t="shared" si="0"/>
        <v>86.40000000000002</v>
      </c>
    </row>
    <row r="59" spans="1:4" x14ac:dyDescent="0.2">
      <c r="A59" s="14" t="s">
        <v>33</v>
      </c>
      <c r="B59" s="15">
        <f>B27</f>
        <v>1.4999999999999999E-2</v>
      </c>
      <c r="C59" s="15">
        <f>(B17*B27)/B18</f>
        <v>0.20222448979591837</v>
      </c>
      <c r="D59" s="16">
        <f t="shared" si="0"/>
        <v>43.276040816326528</v>
      </c>
    </row>
    <row r="60" spans="1:4" x14ac:dyDescent="0.2">
      <c r="A60" s="2" t="s">
        <v>33</v>
      </c>
      <c r="B60" s="7">
        <f>B28</f>
        <v>0.03</v>
      </c>
      <c r="C60" s="7">
        <f>(B17*B28)/B18</f>
        <v>0.40444897959183673</v>
      </c>
      <c r="D60" s="13">
        <f t="shared" si="0"/>
        <v>86.552081632653056</v>
      </c>
    </row>
    <row r="61" spans="1:4" x14ac:dyDescent="0.2">
      <c r="A61" s="14" t="s">
        <v>33</v>
      </c>
      <c r="B61" s="15">
        <f>B29</f>
        <v>4.4999999999999998E-2</v>
      </c>
      <c r="C61" s="15">
        <f>(B17*B29)/B18</f>
        <v>0.60667346938775513</v>
      </c>
      <c r="D61" s="16">
        <f t="shared" si="0"/>
        <v>129.8281224489796</v>
      </c>
    </row>
    <row r="62" spans="1:4" x14ac:dyDescent="0.2">
      <c r="A62" s="2" t="s">
        <v>34</v>
      </c>
      <c r="B62" s="7">
        <f>B27</f>
        <v>1.4999999999999999E-2</v>
      </c>
      <c r="C62" s="7">
        <f>(B22*B27)/B23</f>
        <v>0.11379310344827585</v>
      </c>
      <c r="D62" s="13">
        <f t="shared" si="0"/>
        <v>24.351724137931033</v>
      </c>
    </row>
    <row r="63" spans="1:4" x14ac:dyDescent="0.2">
      <c r="A63" s="14" t="s">
        <v>34</v>
      </c>
      <c r="B63" s="15">
        <f>B28</f>
        <v>0.03</v>
      </c>
      <c r="C63" s="15">
        <f>(B22*B28)/B23</f>
        <v>0.22758620689655171</v>
      </c>
      <c r="D63" s="16">
        <f t="shared" si="0"/>
        <v>48.703448275862065</v>
      </c>
    </row>
    <row r="64" spans="1:4" x14ac:dyDescent="0.2">
      <c r="A64" s="2" t="s">
        <v>34</v>
      </c>
      <c r="B64" s="7">
        <f>B29</f>
        <v>4.4999999999999998E-2</v>
      </c>
      <c r="C64" s="7">
        <f>(B22*B29)/B23</f>
        <v>0.3413793103448276</v>
      </c>
      <c r="D64" s="13">
        <f t="shared" si="0"/>
        <v>73.055172413793102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Robert Jaros</dc:creator>
  <cp:lastModifiedBy>Benjamin R Jaros</cp:lastModifiedBy>
  <dcterms:created xsi:type="dcterms:W3CDTF">2026-02-23T21:47:39Z</dcterms:created>
  <dcterms:modified xsi:type="dcterms:W3CDTF">2026-02-26T17:25:20Z</dcterms:modified>
</cp:coreProperties>
</file>