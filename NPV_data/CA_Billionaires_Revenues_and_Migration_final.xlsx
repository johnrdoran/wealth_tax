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_Collection" sheetId="1" r:id="rId5"/>
    <sheet state="visible" name="Descriptive_Statistics" sheetId="2" r:id="rId6"/>
    <sheet state="visible" name="Calculations" sheetId="3" r:id="rId7"/>
    <sheet state="visible" name="Real_Estate_Stats" sheetId="4" r:id="rId8"/>
    <sheet state="visible" name="Summary" sheetId="5" r:id="rId9"/>
    <sheet state="visible" name="Calculations_Preferred" sheetId="6" r:id="rId10"/>
    <sheet state="visible" name="Real_Estate_Stats_Preferred" sheetId="7" r:id="rId11"/>
    <sheet state="visible" name="Summary_Preferred" sheetId="8" r:id="rId12"/>
    <sheet state="visible" name="Calculations_Expanded" sheetId="9" r:id="rId13"/>
    <sheet state="visible" name="Summary_Expanded" sheetId="10" r:id="rId14"/>
  </sheets>
  <definedNames>
    <definedName hidden="1" localSheetId="0" name="_xlnm._FilterDatabase">Raw_Data_Collection!$A$1:$N$216</definedName>
    <definedName hidden="1" localSheetId="3" name="_xlnm._FilterDatabase">Real_Estate_Stats!$A$1:$J$215</definedName>
    <definedName hidden="1" localSheetId="7" name="_xlnm._FilterDatabase">Summary_Preferred!$N$1:$O$50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<sst xmlns="http://schemas.openxmlformats.org/spreadsheetml/2006/main" count="4722" uniqueCount="853">
  <si>
    <t>Ranking</t>
  </si>
  <si>
    <t>Name</t>
  </si>
  <si>
    <t>Net worth</t>
  </si>
  <si>
    <t>Net Worth Expanded</t>
  </si>
  <si>
    <t>Residence</t>
  </si>
  <si>
    <t>Moving? (Y/N)</t>
  </si>
  <si>
    <t>House Price</t>
  </si>
  <si>
    <t>House Price Source</t>
  </si>
  <si>
    <t>House Price (Assessed) Year</t>
  </si>
  <si>
    <t>Total Residential Real Estate</t>
  </si>
  <si>
    <t>TRRE Price (Assessed) Year(s)</t>
  </si>
  <si>
    <t>TRRE Source</t>
  </si>
  <si>
    <t>Notes</t>
  </si>
  <si>
    <t>Moving Source</t>
  </si>
  <si>
    <t xml:space="preserve"> </t>
  </si>
  <si>
    <t>Larry Page</t>
  </si>
  <si>
    <t>$256.2B</t>
  </si>
  <si>
    <t>Palo Alto</t>
  </si>
  <si>
    <t>Y</t>
  </si>
  <si>
    <t>https://elmundomiami.com/economy/larry-page-invests-173-4-million-in-the-miami-real-estate-market/</t>
  </si>
  <si>
    <t>Page's primary residence is now a Florida mansion.</t>
  </si>
  <si>
    <t>https://www.businessinsider.com/larry-page-leave-california-wealth-billionaire-tax-koop-google-2026-1</t>
  </si>
  <si>
    <t>Larry Ellison</t>
  </si>
  <si>
    <t>$246.1B</t>
  </si>
  <si>
    <t>Woodside</t>
  </si>
  <si>
    <t>https://sfstandard.com/2026/01/05/larry-ellison-san-francisco-home-sale/</t>
  </si>
  <si>
    <t>Sold property in late 2025.</t>
  </si>
  <si>
    <t>https://www.sfchronicle.com/california/article/larry-page-larry-ellison-california-wealth-tax-21281843.php</t>
  </si>
  <si>
    <t>Sergey Brin</t>
  </si>
  <si>
    <t>$236.4B</t>
  </si>
  <si>
    <t>Los Altos</t>
  </si>
  <si>
    <t>https://www.aol.com/news/google-cofounders-sergey-brin-larry-195211174.html</t>
  </si>
  <si>
    <t>Mark Zuckerberg</t>
  </si>
  <si>
    <t>$225.1B</t>
  </si>
  <si>
    <t>N</t>
  </si>
  <si>
    <t>https://www.realtor.com/news/celebrity-real-estate/mark-zuckerberg-palo-alto-home-fury-neighbors/</t>
  </si>
  <si>
    <t>2011-2025</t>
  </si>
  <si>
    <t>https://robbreport.com/shelter/celebrity-homes/mark-zuckerberg-property-portfolio-1236712447/</t>
  </si>
  <si>
    <t>Zuckerberg's compund consists of 11 different properties ranging from $5 million to $15 million.</t>
  </si>
  <si>
    <t>Jensen Huang</t>
  </si>
  <si>
    <t>$162.6B</t>
  </si>
  <si>
    <t>https://www.yahoo.com/lifestyle/articles/3-most-expensive-properties-nvidia-115457861.html</t>
  </si>
  <si>
    <t>https://www.foxbusiness.com/lifestyle/nvidias-ceo-extensive-rich-real-estate-portfolio</t>
  </si>
  <si>
    <t>Huang also has a $38 million San Francisco Mansion.</t>
  </si>
  <si>
    <t>https://uk.finance.yahoo.com/news/nvidia-jensen-huang-perfectly-fine-170800688.html</t>
  </si>
  <si>
    <t>Eric Schmidt</t>
  </si>
  <si>
    <t>$35.6B</t>
  </si>
  <si>
    <t>Los Angeles</t>
  </si>
  <si>
    <t>https://robbreport.com/shelter/celebrity-homes/lists/eric-schmidt-property-portfolio-1236832435/</t>
  </si>
  <si>
    <t>Schmidt also bought a $30.8 million estate in Montecito in 2020.</t>
  </si>
  <si>
    <t>Henry Samueli</t>
  </si>
  <si>
    <t>$32B</t>
  </si>
  <si>
    <t>Newport Beach</t>
  </si>
  <si>
    <t>https://www.urbansplatter.com/2024/06/henry-samueli-house-the-california-dwelling/</t>
  </si>
  <si>
    <t>Samueli only seems to have one residence.</t>
  </si>
  <si>
    <t>Peter Thiel</t>
  </si>
  <si>
    <t>$26.7B</t>
  </si>
  <si>
    <t>https://labusinessjournal.com/technology/billionaire-peter-thiel-moving-los-angeles/</t>
  </si>
  <si>
    <t>2012-2024</t>
  </si>
  <si>
    <t>https://www.loveproperty.com/gallerylist/73268/billionaire-boltholes-to-survive-the-end-of-the-world; https://shopoahuproperties.com/paypal-co-founder-peter-thiel-buys-maui-home-for-27m/; https://press.farm/inside-peter-thiels-lifestyle/; https://www.aol.com/news/fords-former-ceo-just-sold-164442537.html; https://press.farm/inside-peter-thiels-lifestyle/</t>
  </si>
  <si>
    <t>https://www.forbes.com/sites/tylerroush/2025/12/27/possible-california-wealth-tax-causes-billionaire-freakout-page-thiel-threaten-to-leave/</t>
  </si>
  <si>
    <t>Robert Pera</t>
  </si>
  <si>
    <t>$25.5B</t>
  </si>
  <si>
    <t>San Jose</t>
  </si>
  <si>
    <t>https://www.dailymail.co.uk/sport/nba/article-12947653/Memphis-Grizzlies-billionaire-owner-Robert-Pena-Star-Island-arena.html</t>
  </si>
  <si>
    <t>Pera's primary residence is in San Jose, but no sources confirm its value. One of Pera's other residences is a $21.5 million NYC penthouse.</t>
  </si>
  <si>
    <t>Adam Foroughi</t>
  </si>
  <si>
    <t>$25B</t>
  </si>
  <si>
    <t>Truckee</t>
  </si>
  <si>
    <r>
      <rPr>
        <rFont val="Arial"/>
        <color rgb="FF1155CC"/>
        <u/>
      </rPr>
      <t>Homes.com</t>
    </r>
    <r>
      <rPr>
        <rFont val="Arial"/>
      </rPr>
      <t xml:space="preserve"> shows Foroughi sold his Truckee home in 2021: </t>
    </r>
    <r>
      <rPr>
        <rFont val="Arial"/>
        <color rgb="FF1155CC"/>
        <u/>
      </rPr>
      <t>https://www.homes.com/property/2413-newhall-ct-truckee-ca/1egj3t32qvw4h/</t>
    </r>
  </si>
  <si>
    <t>Henry Nicholas III</t>
  </si>
  <si>
    <t>$21.9B</t>
  </si>
  <si>
    <t>Newport Coast</t>
  </si>
  <si>
    <t>https://hauteliving.com/2010/01/haute-estate-19-8-million-newport-coast-mansion/18762/</t>
  </si>
  <si>
    <t>John Doerr</t>
  </si>
  <si>
    <t>$20B</t>
  </si>
  <si>
    <t>Donald Bren</t>
  </si>
  <si>
    <t>$19.2B</t>
  </si>
  <si>
    <t>Eric Smidt</t>
  </si>
  <si>
    <t>$17.9B</t>
  </si>
  <si>
    <t>Beverly Hills</t>
  </si>
  <si>
    <t>https://labusinessjournal.com/special-editions/wealthiest-angelenos/wealthiest-2023/10-eric-smidt/</t>
  </si>
  <si>
    <t>John Tu</t>
  </si>
  <si>
    <t>$17.5B</t>
  </si>
  <si>
    <t>Rolling Hills</t>
  </si>
  <si>
    <t>https://blockshopper.com/ca/los-angeles-county/rolling-hills/property/7567015025/6-east-crest-road</t>
  </si>
  <si>
    <t>David Sun</t>
  </si>
  <si>
    <t>Irvine</t>
  </si>
  <si>
    <t>Jan Koum</t>
  </si>
  <si>
    <t>$17.1B</t>
  </si>
  <si>
    <t>Atherton</t>
  </si>
  <si>
    <t>https://www.celebritynetworth.com/articles/celebrity-homes/two-years-after-paying-100-million-for-a-malibu-mansion-whatsapp-founder-buys-the-house-next-door-for-87-million/</t>
  </si>
  <si>
    <t>https://www.celebritynetworth.com/articles/billionaire-news/jan-koum-grew-up-on-food-stamps-and-now-owns-more-than-400-million-worth-of-california-real-estate/</t>
  </si>
  <si>
    <t>Koum's $187 million compound consists of two houses.</t>
  </si>
  <si>
    <t>https://nypost.com/2026/01/08/real-estate/tech-titans-leaving-california-for-florida-over-billionaire-tax/</t>
  </si>
  <si>
    <t>George Roberts</t>
  </si>
  <si>
    <t>$15.9B</t>
  </si>
  <si>
    <t>https://blockshopper.com/ca/san-mateo-county/atherton/property/070032440/260-atherton-avenue</t>
  </si>
  <si>
    <t>Laurene Powell Jobs</t>
  </si>
  <si>
    <t>$14B</t>
  </si>
  <si>
    <t>San Francisco</t>
  </si>
  <si>
    <t>https://fortune.com/2024/07/13/laurene-powell-jobs-buys-mansion-san-francisco-billionaires-row-70-million-record-high/</t>
  </si>
  <si>
    <t>2015-2024</t>
  </si>
  <si>
    <t>https://fortune.com/2024/06/17/laurene-powell-jobs-94-million-malibu-mansion-apple-steve-jobs-widow/; https://www.architecturaldigest.com/story/laurene-powell-jobs-buys-record-breaking-san-francisco-home</t>
  </si>
  <si>
    <t>Jack Dangermond</t>
  </si>
  <si>
    <t>$13.8B</t>
  </si>
  <si>
    <t>Redlands</t>
  </si>
  <si>
    <t>Antony Ressler</t>
  </si>
  <si>
    <t>$13.1B</t>
  </si>
  <si>
    <t>https://www.finance-monthly.com/antony-resslers-net-worth-2025-billionaire-financier-sports-owner-and-philanthropist/</t>
  </si>
  <si>
    <t>Ressler's various LA properties are estimated to be worth over $100,000,000.</t>
  </si>
  <si>
    <t>Vinod Khosla</t>
  </si>
  <si>
    <t>$12.5B</t>
  </si>
  <si>
    <t>Portola Valley</t>
  </si>
  <si>
    <t>https://www.homes.com/property/630-los-trancos-rd-portola-valley-ca/lsj62j03bbdml/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</si>
  <si>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$6,290,000 - $17,100,579, owned by Ltn Trust and Khosla, likely owned by Vinod Khosla secondary source: </t>
    </r>
    <r>
      <rPr>
        <rFont val="Arial"/>
        <color rgb="FF1155CC"/>
        <u/>
      </rPr>
      <t>https://virtualglobetrotting.com/map/vinod-khoslas-house/view/google/</t>
    </r>
  </si>
  <si>
    <t>Riley Bechtel</t>
  </si>
  <si>
    <t>$11.6B</t>
  </si>
  <si>
    <t>https://www.yahoo.com/entertainment/billionaire-riley-bechtel-pays-record-201404351.html</t>
  </si>
  <si>
    <t>2011-2020</t>
  </si>
  <si>
    <t>Dustin Moskovitz</t>
  </si>
  <si>
    <t>$11.2B</t>
  </si>
  <si>
    <t>https://www.seattletimes.com/business/young-tech-millionaires-keeping-1-bedroom-lifestyle/</t>
  </si>
  <si>
    <t>Moskovitz' primary residence is an $800,000 San Francisco condo.</t>
  </si>
  <si>
    <t>Douglas Leone</t>
  </si>
  <si>
    <t>$10.7B</t>
  </si>
  <si>
    <t>Napa</t>
  </si>
  <si>
    <t>https://www.celebritynetworth.com/richest-businessmen/richest-billionaires/douglas-leone-net-worth/</t>
  </si>
  <si>
    <t>2000-2026</t>
  </si>
  <si>
    <t>Chris Larsen</t>
  </si>
  <si>
    <t>$10.2B</t>
  </si>
  <si>
    <t>https://sfstandard.com/2025/09/09/chris-larsen-napa-home/</t>
  </si>
  <si>
    <t>https://docs.google.com/spreadsheets/d/1-d_IAr8tITUy_s8QmIzH-FLYoODzaBxNMWShu9W7IFk/edit?gid=1121030019#gid=1121030019</t>
  </si>
  <si>
    <t>Brian Armstrong</t>
  </si>
  <si>
    <t>$10.1B</t>
  </si>
  <si>
    <t>https://www.urbansplatter.com/2022/05/brian-armstrong-house-the-los-angeles-mansion/</t>
  </si>
  <si>
    <t>Marijke Mars</t>
  </si>
  <si>
    <t>$10B</t>
  </si>
  <si>
    <t>Tom Gores</t>
  </si>
  <si>
    <t>https://therealdeal.com/la/2016/10/24/platinum-equity-ceo-buys-holmby-hills-spec-home-for-100m/</t>
  </si>
  <si>
    <t>2016-2017</t>
  </si>
  <si>
    <t>https://therealdeal.com/la/2016/10/24/platinum-equity-ceo-buys-holmby-hills-spec-home-for-100m/; https://therealdeal.com/la/2017/12/04/detroit-pistons-owner-tom-gores-pays-38m-for-his-former-beverly-park-home/</t>
  </si>
  <si>
    <t>Andrew Karam</t>
  </si>
  <si>
    <t>$9.8B</t>
  </si>
  <si>
    <t>Brian Chesky</t>
  </si>
  <si>
    <t>$9.6B</t>
  </si>
  <si>
    <t>https://www.washingtonpost.com/technology/2026/01/19/california-wealth-tax-exodus/</t>
  </si>
  <si>
    <t>Marc Benioff</t>
  </si>
  <si>
    <t>$9.3B</t>
  </si>
  <si>
    <t>https://www.yahoo.com/entertainment/twitter-ceo-jack-dorsey-scoops-011751538.html</t>
  </si>
  <si>
    <t>David Geffen</t>
  </si>
  <si>
    <t>$9.2B</t>
  </si>
  <si>
    <t>https://finance.yahoo.com/news/david-geffen-completes-68-million-192458970.html</t>
  </si>
  <si>
    <t>2010-2020</t>
  </si>
  <si>
    <r>
      <rPr>
        <rFont val="Arial"/>
        <color rgb="FF467886"/>
        <u/>
      </rPr>
      <t xml:space="preserve">https://www.inman.com/2020/06/11/entertainment-mogul-david-geffen-buys-la-luxury-estate-for-68m/; </t>
    </r>
    <r>
      <rPr>
        <rFont val="Arial"/>
        <color rgb="FF1155CC"/>
        <u/>
      </rPr>
      <t>https://www.forbes.com/sites/erincarlyle/2014/05/07/a-look-at-billionaire-david-geffens-1-1-billion-stash-of-dream-palaces/</t>
    </r>
  </si>
  <si>
    <t>Nathan Blecharczyk</t>
  </si>
  <si>
    <t>$9.1B</t>
  </si>
  <si>
    <t>Lynsi Snyder</t>
  </si>
  <si>
    <t>$8.6B</t>
  </si>
  <si>
    <t>Glendora</t>
  </si>
  <si>
    <t>Confirmed to be moving, not clear if due to CA Wealth Tax</t>
  </si>
  <si>
    <t>https://apnews.com/article/innout-ceo-moving-af175b4926847325970b5bcba52276fe</t>
  </si>
  <si>
    <t>Steven Rales</t>
  </si>
  <si>
    <t>Santa Barbara</t>
  </si>
  <si>
    <t>Don Hankey</t>
  </si>
  <si>
    <t>$8.1B</t>
  </si>
  <si>
    <t>Malibu</t>
  </si>
  <si>
    <t>https://www.homes.com/property/27450-pacific-coast-hwy-malibu-ca/gt8keb94hyyzn/</t>
  </si>
  <si>
    <t>2021-2026</t>
  </si>
  <si>
    <t>https://www.reviewjournal.com/business/housing/l-a-billionaire-buys-summerlin-condo-for-record-high-21m-3609182/; https://therealdeal.com/miami/2021/10/13/billionaire-don-hankey-buys-oceanfront-highland-beach-mansion-for-30m/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</si>
  <si>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$6,882,000 - $19,119,746 </t>
    </r>
  </si>
  <si>
    <t>https://www.forbes.com/sites/chasewithorn/2026/01/15/los-angeles-billionaire-moves-to-nevada-after-california-threatens-to-tax-wealth/</t>
  </si>
  <si>
    <t>Tench Coxe</t>
  </si>
  <si>
    <t>$7.8B</t>
  </si>
  <si>
    <t>https://www.homes.com/property/1401-emerson-st-palo-alto-ca/znpl6z10qsgvy/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</si>
  <si>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$5,573,000 $8,683,775</t>
    </r>
  </si>
  <si>
    <t>Michael Moritz</t>
  </si>
  <si>
    <t>$7.7B</t>
  </si>
  <si>
    <t>https://blockshopper.com/ca/san-francisco-county/san-francisco/property/0953006/2626-vallejo-street</t>
  </si>
  <si>
    <t>https://www.bloomberg.com/news/articles/2026-01-08/california-wealth-tax-threat-pushes-billionaires-to-texas-florida</t>
  </si>
  <si>
    <t>Edward Roski Jr</t>
  </si>
  <si>
    <t>$7.6B</t>
  </si>
  <si>
    <t>https://www.homes.com/property/10051-valley-spring-ln-toluca-lake-ca/kd8ylmg68cld1/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</si>
  <si>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$6,522,000 - $8,107,000.</t>
    </r>
  </si>
  <si>
    <t>Michael Milken</t>
  </si>
  <si>
    <t>$7.4B</t>
  </si>
  <si>
    <t>https://www.forbes.com/sites/trulia/2014/04/04/las-super-mansion-fleur-de-lys-sells-for-a-record-breaking-102-million/</t>
  </si>
  <si>
    <t>2011-2026</t>
  </si>
  <si>
    <t>https://palisadesnews.com/michael-milkens-pacific-palisades-estate-goes-on-sale-for-64-million/; https://virtualglobetrotting.com/map/michael-milkens-house-4/view/google/; https://www.forbes.com/sites/trulia/2014/04/04/las-super-mansion-fleur-de-lys-sells-for-a-record-breaking-102-million/</t>
  </si>
  <si>
    <t>Steven Spielberg</t>
  </si>
  <si>
    <t>$7B</t>
  </si>
  <si>
    <t>Pacific Palisades</t>
  </si>
  <si>
    <t>https://www.finance-monthly.com/steven-spielbergs-net-worth-9-5-billion-in-2025/</t>
  </si>
  <si>
    <t xml:space="preserve">Spielberg's property is estimated to be between $100 million and $250 million. </t>
  </si>
  <si>
    <t>Edythe Broad</t>
  </si>
  <si>
    <t>$6.9B</t>
  </si>
  <si>
    <t>https://www.homes.com/property/75-oakmont-dr-los-angeles-ca/tcbdp4fxzjekc/</t>
  </si>
  <si>
    <r>
      <rPr>
        <rFont val="Arial"/>
      </rPr>
      <t xml:space="preserve">Owned by Broad Revocable Trust: Estimated value on </t>
    </r>
    <r>
      <rPr>
        <rFont val="Arial"/>
        <color rgb="FF1155CC"/>
        <u/>
      </rPr>
      <t>homes.com</t>
    </r>
    <r>
      <rPr>
        <rFont val="Arial"/>
      </rPr>
      <t xml:space="preserve"> is $7,420,000 - $13,283,376</t>
    </r>
  </si>
  <si>
    <t>Scott Cook</t>
  </si>
  <si>
    <t>https://www.homes.com/property/376-mountain-home-rd-woodside-ca/p6sh3hp6plvk6/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</si>
  <si>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6,309,000-15,830,193</t>
    </r>
  </si>
  <si>
    <t>Baiju Bhatt</t>
  </si>
  <si>
    <t>$6.7B</t>
  </si>
  <si>
    <t>Vlad Tenev</t>
  </si>
  <si>
    <t>$6.4B</t>
  </si>
  <si>
    <t>John A. Sobrato</t>
  </si>
  <si>
    <t>Stephen Cohen</t>
  </si>
  <si>
    <t>$6.3B</t>
  </si>
  <si>
    <t>https://www.homes.com/property/20-willow-rd-menlo-park-ca-unit-8/hbwec8jc2rsrg/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</si>
  <si>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$916,859 - $1,131,000</t>
    </r>
  </si>
  <si>
    <t>Rick Caruso</t>
  </si>
  <si>
    <t>$5.9B</t>
  </si>
  <si>
    <t>https://xabisinc.com/blog/rick-carusos-net-worth-the-secrets-behind-his-real-estate-success/</t>
  </si>
  <si>
    <t>2015-2025</t>
  </si>
  <si>
    <t>https://www.celebritynetworth.com/richest-businessmen/richest-billionaires/rick-caruso-net-worth/</t>
  </si>
  <si>
    <t>Caruso's primary estate is estimated to be worth $60-80 million.</t>
  </si>
  <si>
    <t>Ken Xie</t>
  </si>
  <si>
    <t>$5.7B</t>
  </si>
  <si>
    <t>Los Altos Hills</t>
  </si>
  <si>
    <t>https://www.homes.com/property/352-atherton-ave-atherton-ca/x8c1bf64k72nl/</t>
  </si>
  <si>
    <t>2004-2024</t>
  </si>
  <si>
    <t>https://www.celebritynetworth.com/richest-businessmen/richest-billionaires/ken-xie-net-worth/; https://blockshopper.com/ca/san-mateo-county/atherton/property/070120060/9-tuscaloosa-avenue</t>
  </si>
  <si>
    <t>Jayshree Ullal</t>
  </si>
  <si>
    <t>$5.6B</t>
  </si>
  <si>
    <t>Saratoga</t>
  </si>
  <si>
    <t>https://www.homes.com/property/190-n-lafayette-st-tracy-ca/x6xzt2lw9j9cx/</t>
  </si>
  <si>
    <t>https://www.homes.com/property/19384-chablis-ct-saratoga-ca/e3n5y70n6ed3h/; https://www.homes.com/property/190-n-lafayette-st-tracy-ca/x6xzt2lw9j9cx/</t>
  </si>
  <si>
    <r>
      <rPr>
        <rFont val="Arial"/>
      </rPr>
      <t xml:space="preserve">Estimated values on </t>
    </r>
    <r>
      <rPr>
        <rFont val="Arial"/>
        <color rgb="FF1155CC"/>
        <u/>
      </rPr>
      <t>homes.com</t>
    </r>
    <r>
      <rPr>
        <rFont val="Arial"/>
      </rPr>
      <t xml:space="preserve"> is $803,000 - $877,000 and $6,190,389 - $6,985,000.</t>
    </r>
  </si>
  <si>
    <t>Archie Aldis Emmerson</t>
  </si>
  <si>
    <t>Redding</t>
  </si>
  <si>
    <t>https://www.zillow.com/homedetails/18988-Smith-Rd-Redding-CA-96002/15212777_zpid/</t>
  </si>
  <si>
    <r>
      <rPr>
        <rFont val="Arial"/>
      </rPr>
      <t xml:space="preserve">Used this source to find initial address: </t>
    </r>
    <r>
      <rPr>
        <rFont val="Arial"/>
        <color rgb="FF1155CC"/>
        <u/>
      </rPr>
      <t>https://virtualglobetrotting.com/map/red-emmersons-house/view/google/</t>
    </r>
    <r>
      <rPr>
        <rFont val="Arial"/>
      </rPr>
      <t xml:space="preserve"> , then confirmed with deed lookup: </t>
    </r>
    <r>
      <rPr>
        <rFont val="Arial"/>
        <color rgb="FF1155CC"/>
        <u/>
      </rPr>
      <t>https://recorderselfservice.shastacounty.gov/web/document/DOCCOR-2501886?search=DOCSEARCH344S5</t>
    </r>
  </si>
  <si>
    <t>Romesh T. Wadhwani</t>
  </si>
  <si>
    <t>$5.5B</t>
  </si>
  <si>
    <t>https://www.homes.com/property/26170-w-fremont-rd-los-altos-hills-ca/b1fflmh2yhezd/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</si>
  <si>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$9,313,000 - $13,169,940</t>
    </r>
  </si>
  <si>
    <t>Neal Blue</t>
  </si>
  <si>
    <t>$5.4B</t>
  </si>
  <si>
    <t>San Diego</t>
  </si>
  <si>
    <t>Gordon Getty</t>
  </si>
  <si>
    <t>https://blockshopper.com/ca/san-francisco-county/san-francisco/property/0958030/2870-broadway-street; https://www.redfin.com/CA/San-Francisco/2870-Broadway-St-94115/home/1811887#property-details</t>
  </si>
  <si>
    <r>
      <rPr>
        <rFont val="Arial"/>
      </rPr>
      <t xml:space="preserve">Estimated value on </t>
    </r>
    <r>
      <rPr>
        <rFont val="Arial"/>
        <color rgb="FF1155CC"/>
        <u/>
      </rPr>
      <t>redfin.com</t>
    </r>
    <r>
      <rPr>
        <rFont val="Arial"/>
      </rPr>
      <t xml:space="preserve"> is $29,608,760.</t>
    </r>
  </si>
  <si>
    <t>Patrick Soon-Shiong</t>
  </si>
  <si>
    <t>https://www.celebritynetworth.com/articles/celebrity-homes/patrick-soon-shiongs-house-brentwood-billionaire-doctor-demolished-seven-houses-build-one-insane-mega-property/</t>
  </si>
  <si>
    <t>2005-2016</t>
  </si>
  <si>
    <t>https://www.ocregister.com/2016/02/04/oceanfront-laguna-beach-estate-twin-points-sells-for-record-shattering-45-million/; https://virtualglobetrotting.com/map/patrick-soon-shiongs-house-2/view/google/; https://www.ocbj.com/special-report/ocs-wealthiest-2024/ocs-wealthiest-2024-patrick-soon-shiong/; https://www.celebritynetworth.com/articles/celebrity-homes/patrick-soon-shiongs-house-brentwood-billionaire-doctor-demolished-seven-houses-build-one-insane-mega-property/</t>
  </si>
  <si>
    <r>
      <rPr>
        <rFont val="Arial"/>
      </rPr>
      <t xml:space="preserve">Main estate consists of 7 properties combined for $30 million dollars according to </t>
    </r>
    <r>
      <rPr>
        <rFont val="Arial"/>
        <color rgb="FF1155CC"/>
        <u/>
      </rPr>
      <t>celebritynetworth.com</t>
    </r>
  </si>
  <si>
    <t>Jean (Gigi) Pritzker</t>
  </si>
  <si>
    <t>Stewart Resnick</t>
  </si>
  <si>
    <t>$5.3B</t>
  </si>
  <si>
    <t>https://www.homes.com/property/9491-sunset-blvd-beverly-hills-ca/sw2h7klpb942m/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</si>
  <si>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$8,902,000 - $17,115,689.</t>
    </r>
  </si>
  <si>
    <t>Lynda Resnick</t>
  </si>
  <si>
    <t>Estimated value on homes.com is $8,902,000 - $17,115,689.</t>
  </si>
  <si>
    <t>Eduardo Vivas</t>
  </si>
  <si>
    <t>George Lucas</t>
  </si>
  <si>
    <t>San Anselmo</t>
  </si>
  <si>
    <t>https://www.marinij.com/2023/07/29/george-lucas-sues-to-secure-san-anselmo-parcel-ownership/</t>
  </si>
  <si>
    <t>2010-2023</t>
  </si>
  <si>
    <t>https://robbreport.com/shelter/celebrity-homes/lists/george-lucas-property-portfolio-1237348814/; https://www.sfgate.com/realestate/article/George-Lucas-Carpinteria-houses-owned-property-14885154.php; https://www.marinij.com/2023/07/29/george-lucas-sues-to-secure-san-anselmo-parcel-ownership/</t>
  </si>
  <si>
    <t>Lucas also owns "Skywalker Ranch", but this is not a residential property and is instead used for business.</t>
  </si>
  <si>
    <t>Reed Hastings</t>
  </si>
  <si>
    <t>$5.1B</t>
  </si>
  <si>
    <t>Santa Cruz</t>
  </si>
  <si>
    <t>https://www.celebritynetworth.com/richest-businessmen/ceos/reed-hastings-net-worth/</t>
  </si>
  <si>
    <t>2013-2016</t>
  </si>
  <si>
    <t xml:space="preserve">Hastings also owns property in Hollywood. </t>
  </si>
  <si>
    <t>Eric Yuan</t>
  </si>
  <si>
    <t>Santa Clara</t>
  </si>
  <si>
    <t>Gwendolyn Sontheim Meyer</t>
  </si>
  <si>
    <t>$5B</t>
  </si>
  <si>
    <t>Rancho Santa Fe</t>
  </si>
  <si>
    <t>Jim Coulter</t>
  </si>
  <si>
    <t>Jack Dorsey</t>
  </si>
  <si>
    <t>$4.9B</t>
  </si>
  <si>
    <t>2012-2018</t>
  </si>
  <si>
    <t>https://www.yahoo.com/entertainment/twitter-ceo-jack-dorsey-scoops-011751538.html; https://www.yahoo.com/entertainment/jack-dorsey-hollywood-hills-hideaway-015224916.html</t>
  </si>
  <si>
    <t>Compound consists of two residences, one bought in 2012 for $10 million and one bought in 2019 for $21.9 million. His Hollywood Hills residence was later sold.</t>
  </si>
  <si>
    <t>David Baszucki</t>
  </si>
  <si>
    <t>Scott Crabill</t>
  </si>
  <si>
    <t>$4.8B</t>
  </si>
  <si>
    <t>https://www.homes.com/property/34-maple-st-san-francisco-ca/83sknmj9zbck7/</t>
  </si>
  <si>
    <t>2017-2026</t>
  </si>
  <si>
    <t>https://www.homes.com/property/34-maple-st-san-francisco-ca/83sknmj9zbck7/; https://www.compass.com/homedetails/1710-Cabernet-Ln-St-Helena-CA-94574/7885975409678385_lid/; https://www.compass.com/homedetails/12-Upper-Ames-Ave-Ross-CA-94957/1018950796530693897_lid/; https://www.compass.com/homedetails/3712-Jackson-St-San-Francisco-CA-94118/778822386949832337_lid/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</si>
  <si>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$7,527,000 - $22,222,762.</t>
    </r>
  </si>
  <si>
    <t>Holden Spaht</t>
  </si>
  <si>
    <t>https://www.homes.com/property/2324-pacific-ave-san-francisco-ca/qpzresp8fbygw/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</si>
  <si>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$6,849,000.</t>
    </r>
  </si>
  <si>
    <t>Seth Boro</t>
  </si>
  <si>
    <t>https://www.homes.com/property/429-elizabeth-st-san-francisco-ca/xpxfwnhw0x4kw/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</si>
  <si>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$2,842,000 - $5,884,000.</t>
    </r>
  </si>
  <si>
    <t>Michael Xie</t>
  </si>
  <si>
    <t>https://www.homes.com/property/27161-w-fremont-rd-los-altos-hills-ca/yneqges0z8j44/</t>
  </si>
  <si>
    <t>https://www.homes.com/property/27161-w-fremont-rd-los-altos-hills-ca/yneqges0z8j44/; https://www.homes.com/property/1218-portola-rd-pebble-beach-ca/pyl3bhymmvf5d/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</si>
  <si>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$8,136,000 - $13,269,963</t>
    </r>
  </si>
  <si>
    <t>Dagmar Dolby</t>
  </si>
  <si>
    <t>https://www.homes.com/property/3340-jackson-st-san-francisco-ca/lemwwpgc5tfrh/</t>
  </si>
  <si>
    <t>https://www.forbes.com/sites/forbeswealthteam/2023/08/26/when-10-homes-isnt-enough-which-billionaires-own-the-most-properties-larry-ellison-jeff-bezos-oprah-winfrey/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</si>
  <si>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$5,631,000 - $7,809,894.</t>
    </r>
  </si>
  <si>
    <t>David Filo</t>
  </si>
  <si>
    <t>$4.5B</t>
  </si>
  <si>
    <t>Rupert Johnson Jr</t>
  </si>
  <si>
    <t>$4.4B</t>
  </si>
  <si>
    <t>Burlingame</t>
  </si>
  <si>
    <t>Anthony Pritzker</t>
  </si>
  <si>
    <t>https://kanebridgenews.com/one-of-americas-biggest-homes-hits-the-market-for-195-million/</t>
  </si>
  <si>
    <t>Rodney Sacks</t>
  </si>
  <si>
    <t>$4.3B</t>
  </si>
  <si>
    <t>Laguna Beach</t>
  </si>
  <si>
    <t>Donald Sterling</t>
  </si>
  <si>
    <t>https://www.homes.com/property/808-n-beverly-dr-beverly-hills-ca/lgnr8czbm0szq/</t>
  </si>
  <si>
    <t>2015-2026</t>
  </si>
  <si>
    <r>
      <rPr>
        <rFont val="Arial"/>
        <color rgb="FF467886"/>
        <u/>
      </rPr>
      <t xml:space="preserve">https://www.homes.com/property/808-n-beverly-dr-beverly-hills-ca/lgnr8czbm0szq/; </t>
    </r>
    <r>
      <rPr>
        <rFont val="Arial"/>
        <color rgb="FF1155CC"/>
        <u/>
      </rPr>
      <t>https://www.realtytoday.com/articles/36434/20150918/former-la-clipper-owner-donald-sterling-buys-beverly-hills-home-for-18m.htm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</si>
  <si>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$5,584,000 - $11,443,465.</t>
    </r>
  </si>
  <si>
    <t>Sanjit Biswas</t>
  </si>
  <si>
    <t>$4.1B</t>
  </si>
  <si>
    <t>Thomas Siebel</t>
  </si>
  <si>
    <t>$4B</t>
  </si>
  <si>
    <r>
      <rPr>
        <rFont val="Arial"/>
      </rPr>
      <t xml:space="preserve">Siebel potentially owns this Lake Tahoe estate, but not confirmed: </t>
    </r>
    <r>
      <rPr>
        <rFont val="Arial"/>
        <color rgb="FF1155CC"/>
        <u/>
      </rPr>
      <t>https://www.sacbee.com/news/business/real-estate-news/article141950429.html</t>
    </r>
  </si>
  <si>
    <t>John Bicket</t>
  </si>
  <si>
    <t>José E. Feliciano</t>
  </si>
  <si>
    <t>$3.8B</t>
  </si>
  <si>
    <t>https://palisadesnews.com/private-equity-billionaire-jose-e-feliciano-buys-50-palisades-million-mansion-narrowly-avoids-new-mansion-tax/</t>
  </si>
  <si>
    <t>Meg Whitman</t>
  </si>
  <si>
    <t>https://www.latimes.com/business/real-estate/story/2020-08-10/quibi-chief-meg-whitman-lists-west-hollywood-condo-for-6-5-million</t>
  </si>
  <si>
    <t>While listed for sale, Whitman still seems to have not sold the residence yet.</t>
  </si>
  <si>
    <t>Behdad Eghbali</t>
  </si>
  <si>
    <t>https://www.yahoo.com/entertainment/billionaire-behdad-eghbali-buys-21-224623408.html</t>
  </si>
  <si>
    <t>Peter Gassner</t>
  </si>
  <si>
    <t>Pleasanton</t>
  </si>
  <si>
    <t>https://www.homes.com/property/4512-lin-gate-st-pleasanton-ca/jfjbyjdmsmcgx/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</si>
  <si>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$1,887,000 - $2,072,000</t>
    </r>
  </si>
  <si>
    <t>John Fisher</t>
  </si>
  <si>
    <t>$3.7B</t>
  </si>
  <si>
    <t>https://www.casino.org/news/as-owner-buys-3rd-most-expensive-vegas-home-ever-sold/</t>
  </si>
  <si>
    <t>Fisher owns other residential property besides his $29.25 million Las Vegas home, but there are no reports indicating valuations of these properties.</t>
  </si>
  <si>
    <t>Danny Harris</t>
  </si>
  <si>
    <t>https://therealdeal.com/la/2017/02/21/alo-yoga-founder-buys-beverly-hills-house-from-bebe-founder-for-30m/</t>
  </si>
  <si>
    <t>Jared Kaplan</t>
  </si>
  <si>
    <t>Pacifica</t>
  </si>
  <si>
    <t>Dario Amodei</t>
  </si>
  <si>
    <t>Tom Brown</t>
  </si>
  <si>
    <t>https://www.homes.com/property/34-bothin-rd-fairfax-ca-unit-a/trh18zhv4y4gc/</t>
  </si>
  <si>
    <t>Estimated value on homes.com is $2,230,000 - $2,572,000</t>
  </si>
  <si>
    <t>Jack Clark</t>
  </si>
  <si>
    <t>Sam McCandlish</t>
  </si>
  <si>
    <t>https://www.homes.com/property/347-precita-ave-san-francisco-ca/48ds9edzhcj41/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</si>
  <si>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$2,317,000 - $4,831,145</t>
    </r>
  </si>
  <si>
    <t>Daniela Amodei</t>
  </si>
  <si>
    <t>Marco DeGeorge</t>
  </si>
  <si>
    <t>$3.6B</t>
  </si>
  <si>
    <t>https://www.homes.com/property/517-alta-ave-santa-monica-ca/vq4nqr9enjgpr/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</si>
  <si>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$4,142,000 - $12,982,483.</t>
    </r>
  </si>
  <si>
    <t>Kavitark Ram Shriram</t>
  </si>
  <si>
    <t>Menlo Park</t>
  </si>
  <si>
    <t>Hemant Taneja</t>
  </si>
  <si>
    <t>https://www.homes.com/property/13685-la-paloma-rd-los-altos-hills-ca/fmywnqbsb44wd/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</si>
  <si>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$9,271,000 - $13,784,748.</t>
    </r>
  </si>
  <si>
    <t>Richard Peery</t>
  </si>
  <si>
    <t>$3.5B</t>
  </si>
  <si>
    <t>Brian Acton</t>
  </si>
  <si>
    <t>https://www.yahoo.com/entertainment/whatsapp-co-founder-brian-acton-174840726.html</t>
  </si>
  <si>
    <t>Acton's compound consists of 7 Palo Alto houses.</t>
  </si>
  <si>
    <t>Travis Kalanick</t>
  </si>
  <si>
    <t>https://therealdeal.com/la/2020/05/09/uber-buy-travis-kalanick-behind-43m-bel-air-purchase/</t>
  </si>
  <si>
    <t>Palmer Luckey</t>
  </si>
  <si>
    <t>https://www.forbes.com/sites/iainmartin/2024/07/22/billionaire-palmer-luckey-sues-contractor-after-being-trapped-in-his-mansions-car-elevator/</t>
  </si>
  <si>
    <t>Unclear if Luckey is moving, but he is a vocal critic of tax.</t>
  </si>
  <si>
    <t>https://www.foxbusiness.com/politics/tech-billionaires-threaten-flee-california-over-proposed-5-wealth-tax</t>
  </si>
  <si>
    <t>Parker Conrad</t>
  </si>
  <si>
    <t>$3.4B</t>
  </si>
  <si>
    <t>Frank Slootman</t>
  </si>
  <si>
    <t>$3.3B</t>
  </si>
  <si>
    <t>https://www.zillow.com/homedetails/3001-W-Ruby-Hill-Dr-Pleasanton-CA-94566/25087211_zpid/</t>
  </si>
  <si>
    <t>Public nonprofit filings (IRS Form 990-PF) indicate that Frank and his wife Brenda Slootman have been associated with the address 3001 West Ruby Hill Drive, Pleasanton, CA 94566 on multiple filings.</t>
  </si>
  <si>
    <t>George Argyros</t>
  </si>
  <si>
    <t>$3.2B</t>
  </si>
  <si>
    <t>https://www.ocregister.com/2011/08/11/see-how-a-billionaire-lives/</t>
  </si>
  <si>
    <t>Article and public records indicate a combined-lot rebuild valued at approximately $27–$42 million</t>
  </si>
  <si>
    <t>Jay Paul</t>
  </si>
  <si>
    <t>https://socketsite.com/archives/2015/11/behind-the-28-5m-fixer-under-wraps-on-billionaires-row.html</t>
  </si>
  <si>
    <t>Vasily Shikin</t>
  </si>
  <si>
    <t>Haim Saban</t>
  </si>
  <si>
    <t>https://www.mansionglobal.com/articles/mighty-morphin-power-rangers-creator-haim-sabans-malibu-beach-house-gets-a-7-5-million-discount-3b235ba0</t>
  </si>
  <si>
    <t>Alexandr Wang</t>
  </si>
  <si>
    <t>Jeff Rothschild</t>
  </si>
  <si>
    <t>William Chisholm</t>
  </si>
  <si>
    <t>$3.1B</t>
  </si>
  <si>
    <t>https://www.homes.com/property/36-ralston-rd-atherton-ca/0b3qvgxhehbf0/</t>
  </si>
  <si>
    <t>Estimated value on homes.com is $7,848,000 - $15,563,106, Chisholm also owns a home in Nantucket, MA</t>
  </si>
  <si>
    <t>Oprah Winfrey</t>
  </si>
  <si>
    <t>Montecito</t>
  </si>
  <si>
    <t>https://www.realtor.com/news/celebrity-real-estate/oprah-winfrey-kamala-harris-homes/</t>
  </si>
  <si>
    <t>2001-2023</t>
  </si>
  <si>
    <t>Winfrey has several other California real estate holdings, totaling around $100,000,000.</t>
  </si>
  <si>
    <t>Jerry Yang</t>
  </si>
  <si>
    <t>$3B</t>
  </si>
  <si>
    <t>Sean Parker</t>
  </si>
  <si>
    <t>https://www.latimes.com/business/realestate/hot-property/la-fi-hotprop-ellen-degeneres-20140707-story.html</t>
  </si>
  <si>
    <t>Nicolas Berggruen</t>
  </si>
  <si>
    <t>$2.9B</t>
  </si>
  <si>
    <t>https://www.celebritynetworth.com/articles/celebrity-homes/homeless-billionaire-nicolas-berggruen-is-no-longer-homeless-with-63-million-hearst-estate-purchase/</t>
  </si>
  <si>
    <t>Aneel Bhusri</t>
  </si>
  <si>
    <t>https://www.homes.com/property/200-sea-cliff-ave-san-francisco-ca/6lbnfvv2v66d3/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</si>
  <si>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$6,578,000 - $12,072,842.</t>
    </r>
  </si>
  <si>
    <t>Tim Draper</t>
  </si>
  <si>
    <t>$2.8B</t>
  </si>
  <si>
    <t>https://www.zillow.com/homedetails/172-Elena-Ave-Atherton-CA-94027/15594080_zpid/ ; https://blockshopper.com/ca/san-mateo-county/atherton/property/070330010/172-elena-avenue</t>
  </si>
  <si>
    <t>Daniel Pritzker</t>
  </si>
  <si>
    <t>Marin County</t>
  </si>
  <si>
    <r>
      <rPr>
        <rFont val="Arial"/>
      </rPr>
      <t xml:space="preserve">Pritzker sold Marin county home to Gavin Newsom in 2024 worth $9M: </t>
    </r>
    <r>
      <rPr>
        <rFont val="Arial"/>
        <color rgb="FF1155CC"/>
        <u/>
      </rPr>
      <t>https://sfstandard.com/2024/11/15/gavin-newsom-buys-marin-mansion/</t>
    </r>
  </si>
  <si>
    <t>Jed McCaleb</t>
  </si>
  <si>
    <t>Berkeley</t>
  </si>
  <si>
    <t>Fred Ehrsam</t>
  </si>
  <si>
    <t>Tony Xu</t>
  </si>
  <si>
    <t>$2.7B</t>
  </si>
  <si>
    <t>John Pritzker</t>
  </si>
  <si>
    <t>$2.6B</t>
  </si>
  <si>
    <t>George Joseph</t>
  </si>
  <si>
    <t>https://www.homes.com/property/365-s-hudson-ave-los-angeles-ca/5mnscx6lcnymz/</t>
  </si>
  <si>
    <t>https://www.homes.com/property/915-cima-del-mundo-rd-montecito-ca/l92ldh44hh09p/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</si>
  <si>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for LA home is $6,169,000 - $11,761,216 and Montecito home is 5,382,000</t>
    </r>
  </si>
  <si>
    <t>Jeff T. Green</t>
  </si>
  <si>
    <t>Newbury Park</t>
  </si>
  <si>
    <t>https://www.yahoo.com/lifestyle/tech-billionaire-dropped-12-million-000000451.html</t>
  </si>
  <si>
    <r>
      <rPr>
        <rFont val="Arial"/>
      </rPr>
      <t xml:space="preserve">Yahoo notes Green bought $12m Malibu estate, but still owns Thousand Oaks home possibly: </t>
    </r>
    <r>
      <rPr>
        <rFont val="Arial"/>
        <color rgb="FF1155CC"/>
        <u/>
      </rPr>
      <t>https://www.homes.com/property/5592-via-bonita-newbury-park-ca/7bmrl59d17vfr/</t>
    </r>
  </si>
  <si>
    <t>Tim Cook</t>
  </si>
  <si>
    <t>Cupertino</t>
  </si>
  <si>
    <t>https://www.financialexpress.com/life/technology-apple-ceo-tim-cook-a-look-at-his-net-worth-his-career-at-apple-personal-properties-cars-and-more-4047251/</t>
  </si>
  <si>
    <t>Cook's La Quinta residence was bought for $10 million. He also has a palo alto residence of undisclosed value.</t>
  </si>
  <si>
    <t>Anthony Wood</t>
  </si>
  <si>
    <t>$2.5B</t>
  </si>
  <si>
    <t>Evan Spiegel</t>
  </si>
  <si>
    <t>https://www.architecturaldigest.com/story/billionaire-snapchat-ceo-evan-spiegel-model-miranda-kerr-la-home</t>
  </si>
  <si>
    <t>Barbara Banke</t>
  </si>
  <si>
    <t>Geyserville</t>
  </si>
  <si>
    <t>https://www.homes.com/property/8251-foxen-canyon-rd-santa-maria-ca/2bmy6843gbkgc/</t>
  </si>
  <si>
    <t xml:space="preserve">Estimated value on homes.com is $9,918,000 (no range) owned since 2013. </t>
  </si>
  <si>
    <t>Herald Chen</t>
  </si>
  <si>
    <t>$2.4B</t>
  </si>
  <si>
    <t>Hillsborough</t>
  </si>
  <si>
    <t>https://www.homes.com/property/45-downey-way-hillsborough-ca/nbrb8lkwthq8p/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</si>
  <si>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$9,134,000 - $11,668,997</t>
    </r>
  </si>
  <si>
    <t>Reid Hoffman</t>
  </si>
  <si>
    <r>
      <rPr>
        <rFont val="Arial"/>
      </rPr>
      <t xml:space="preserve">Reid Hoffman on California wealth tax: </t>
    </r>
    <r>
      <rPr>
        <rFont val="Arial"/>
        <color rgb="FF1155CC"/>
        <u/>
      </rPr>
      <t>https://finance.yahoo.com/news/reid-hoffman-calls-californias-proposed-230843856.html</t>
    </r>
  </si>
  <si>
    <t>Jeff Tangney</t>
  </si>
  <si>
    <t>https://www.homes.com/property/1300-hamilton-ave-palo-alto-ca/e4m6d56y4nv0x/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</si>
  <si>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$8,042,000 - $13,339,311</t>
    </r>
  </si>
  <si>
    <t>Bennett Rosenthal</t>
  </si>
  <si>
    <t>$2.3B</t>
  </si>
  <si>
    <t>https://www.homes.com/property/707-foothill-rd-beverly-hills-ca/251e7k49sd7c5/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</si>
  <si>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$5,433,000 - $8,683,316</t>
    </r>
  </si>
  <si>
    <t>Bruce Karsh</t>
  </si>
  <si>
    <t>https://www.mansionglobal.com/articles/investor-bruce-karsh-buys-grey-estate-in-l-a-for-68-82m-97050</t>
  </si>
  <si>
    <t>Sheryl Sandberg</t>
  </si>
  <si>
    <t>https://www.celebritynetworth.com/richest-businessmen/business-executives/sheryl-sandberg-net-worth/</t>
  </si>
  <si>
    <t>Joe Lacob</t>
  </si>
  <si>
    <t>https://www.celebritynetworth.com/richest-businessmen/business-executives/joe-lacob-net-worth/</t>
  </si>
  <si>
    <t>Kevin Systrom</t>
  </si>
  <si>
    <t>Kenneth Hao</t>
  </si>
  <si>
    <t>https://www.homes.com/property/425-pinehill-rd-hillsborough-ca/2ehv6v96drdxd/</t>
  </si>
  <si>
    <t>Estimated value on homes.com is $7,962,000 - $9,411,000</t>
  </si>
  <si>
    <t>David Kaplan</t>
  </si>
  <si>
    <t>$2.2B</t>
  </si>
  <si>
    <t>Egon Durban</t>
  </si>
  <si>
    <t>https://robbreport.com/shelter/celebrity-homes/egon-durban-house-del-mar-san-diego-1235501340/</t>
  </si>
  <si>
    <t>2024-2026</t>
  </si>
  <si>
    <t>https://www.zillow.com/homedetails/1285-Padre-Lane-Pebble-Beach-CA-93953/2091680232_zpid/; https://www.mpwmd.net/wp-content/uploads/Permits-75.pdf</t>
  </si>
  <si>
    <t xml:space="preserve">Most likely Egon Durban’s personal residence, purchased via an LLC for privacy, found second home in Pebble Beach through water permit records. https://www.mpwmd.net/wp-content/uploads/Permits-75.pdf </t>
  </si>
  <si>
    <t>Tom Ford</t>
  </si>
  <si>
    <t>https://www.mansionglobal.com/articles/tom-ford-drops-39m-on-a-fashionable-los-angeles-home-48537</t>
  </si>
  <si>
    <t>Max Levchin</t>
  </si>
  <si>
    <r>
      <rPr>
        <rFont val="Arial"/>
      </rPr>
      <t xml:space="preserve">Sold San Francisco home in 2019: </t>
    </r>
    <r>
      <rPr>
        <rFont val="Arial"/>
        <color rgb="FF1155CC"/>
        <u/>
      </rPr>
      <t>https://www.realtor.com/news/celebrity-real-estate/max-levchin-selling-san-francisco-home/</t>
    </r>
  </si>
  <si>
    <t>Irving Grousbeck</t>
  </si>
  <si>
    <t>https://www.homes.com/property/706-los-trancos-rd-palo-alto-ca/6cl34trhqwct0/</t>
  </si>
  <si>
    <t>James Scapa</t>
  </si>
  <si>
    <t>https://www.yahoo.com/entertainment/altair-ceo-james-scapa-drops-151321244.html</t>
  </si>
  <si>
    <t>Surya Midha</t>
  </si>
  <si>
    <t>Brendan Foody</t>
  </si>
  <si>
    <t>https://www.homes.com/property/630-olive-st-menlo-park-ca/51jrtwk38571r/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</si>
  <si>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$4,849,037 - $5,328,000. Address found through US phone book: </t>
    </r>
    <r>
      <rPr>
        <rFont val="Arial"/>
        <color rgb="FF1155CC"/>
        <u/>
      </rPr>
      <t>https://www.usphonebook.com/brendan-foody/UzQzNxYzMwIjNwADNyYjN0kjM40yR</t>
    </r>
  </si>
  <si>
    <t>Adarsh Hiremath</t>
  </si>
  <si>
    <t>https://www.homes.com/property/1396-bittern-dr-sunnyvale-ca/dnswy5ynqxtf1/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</si>
  <si>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$3,016,000 - $3,526,000. Address found through US phone book: </t>
    </r>
    <r>
      <rPr>
        <rFont val="Arial"/>
        <color rgb="FF1155CC"/>
        <u/>
      </rPr>
      <t>https://www.usphonebook.com/address/1396-bittern-dr_sunnyvale-ca</t>
    </r>
  </si>
  <si>
    <t>Sarah MacMillan</t>
  </si>
  <si>
    <t>$2.1B</t>
  </si>
  <si>
    <t>https://www.homes.com/property/24348-malibu-rd-malibu-ca/epljv02w6jfqm/</t>
  </si>
  <si>
    <t>Estimated value on homes.com is $6,300,000 - $12,482,485</t>
  </si>
  <si>
    <t>Jon Winkelried</t>
  </si>
  <si>
    <t>https://www.homes.com/property/2121-webster-st-san-francisco-ca-unit-ph3/0sh6ewt66bwhf/</t>
  </si>
  <si>
    <r>
      <t xml:space="preserve">Estimated value on </t>
    </r>
    <r>
      <rPr>
        <color rgb="FF1155CC"/>
        <u/>
      </rPr>
      <t>homes.com</t>
    </r>
    <r>
      <t xml:space="preserve"> is $4,126,000 - $5,512,000.</t>
    </r>
  </si>
  <si>
    <t>Richard Saghian</t>
  </si>
  <si>
    <t>https://www.forbes.com/sites/emmareynolds/2022/03/09/fashion-nova-ceo-richard-saghian-buys-the-one-megamansion-for-141-million/</t>
  </si>
  <si>
    <t>Alec Gores</t>
  </si>
  <si>
    <t>https://www.celebritynetworth.com/richest-businessmen/ceos/alec-gores/</t>
  </si>
  <si>
    <t>Drew Houston</t>
  </si>
  <si>
    <t>Walter Wang</t>
  </si>
  <si>
    <t>$2B</t>
  </si>
  <si>
    <t>https://eliteagent.com/jennifer-lopez-takes-a-price-cut-on-bel-air-home/</t>
  </si>
  <si>
    <t>Patrick Hanrahan</t>
  </si>
  <si>
    <t>https://www.homes.com/property/40-minoca-rd-portola-valley-ca/7q7r3jf36ed8k/</t>
  </si>
  <si>
    <r>
      <t xml:space="preserve">Estimated value on </t>
    </r>
    <r>
      <rPr>
        <color rgb="FF1155CC"/>
        <u/>
      </rPr>
      <t>homes.com</t>
    </r>
    <r>
      <t xml:space="preserve"> is $4,895,000 - $7,322,885.</t>
    </r>
  </si>
  <si>
    <t>Tom Werner</t>
  </si>
  <si>
    <t>https://www.homes.com/property/770-napoli-dr-pacific-palisades-ca/dsbdlqps3szf0/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</si>
  <si>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$5,594,000 - $15,315,861, also owns a Boston home</t>
    </r>
  </si>
  <si>
    <t>Thomas Steyer</t>
  </si>
  <si>
    <t>https://www.sfchronicle.com/realestate/article/tom-steyer-sea-cliff-mansion-20036753.php</t>
  </si>
  <si>
    <t xml:space="preserve">Article notes permits were approved for Tom Steyer's trust to build $4 million house on Sea Cliff Avenue in 2025. Also had Pacific Heights home sold for $11 million in 2020. </t>
  </si>
  <si>
    <t>Bobby Murphy</t>
  </si>
  <si>
    <t>Venice</t>
  </si>
  <si>
    <t>https://finance.yahoo.com/news/snapchat-billionaire-bobby-murphy-drops-012820960.html</t>
  </si>
  <si>
    <t>2013-2021</t>
  </si>
  <si>
    <t>Yahoo article states Murphy owns about 9 properties, listing 6 in the article</t>
  </si>
  <si>
    <t>Dylan Field</t>
  </si>
  <si>
    <t>Sam Altman</t>
  </si>
  <si>
    <t>$1.9B</t>
  </si>
  <si>
    <t>https://www.forbes.com/sites/brianbushard/2024/07/17/billionaire-sam-altman-claims-27-million-san-francisco-mansion-is-a-lemon/</t>
  </si>
  <si>
    <t>Geoffrey Palmer</t>
  </si>
  <si>
    <t>https://www.homes.com/property/626-n-arden-dr-beverly-hills-ca/rvkrdgh787ske/</t>
  </si>
  <si>
    <t>Estimated value on homes.com is $9,431,000 - $14,281,449</t>
  </si>
  <si>
    <t>Evan Williams</t>
  </si>
  <si>
    <t>Riaz Valani</t>
  </si>
  <si>
    <t>https://www.wsj.com/real-estate/luxury-homes/johnny-carsons-longtime-malibu-home-lists-for-110-million-a9331324</t>
  </si>
  <si>
    <t>Home has been listed for sale by Valani since September 2025, but has not yet been sold.</t>
  </si>
  <si>
    <t>Marc Andreessen</t>
  </si>
  <si>
    <t>https://www.celebritynetworth.com/articles/celebrity-homes/marc-andreessen-just-paid-177-million-for-a-seven-acre-malibu-estate-the-second-most-expensive-home-sold-in-us-history/</t>
  </si>
  <si>
    <t>Kim Kardashian</t>
  </si>
  <si>
    <t>$1.8B</t>
  </si>
  <si>
    <t>Hidden Hills</t>
  </si>
  <si>
    <t>https://www.realtor.com/news/celebrity-real-estate/kim-kardashian-buys-hidden-hills-home-kanye-west/</t>
  </si>
  <si>
    <t>https://robbreport.com/shelter/celebrity-homes/lists/kim-kardashian-property-portfolio-1236959466/hidden-hills/</t>
  </si>
  <si>
    <t>Kardashian owns other California residences, but the hidden hills mansion is her primary residence.; the most recent "report" claims that Kardashian has a $115 million property portfolio</t>
  </si>
  <si>
    <t>Mark Attanasio</t>
  </si>
  <si>
    <t>https://therealdeal.com/la/2023/07/26/malibu-home-of-milwaukee-brewers-owner-goes-into-contract-for-25m/</t>
  </si>
  <si>
    <t>https://www.homes.com/property/31202-broad-beach-rd-malibu-ca/x1csdg59ekw4n/; https://www.homes.com/property/1636-mandeville-canyon-rd-los-angeles-ca/yf9qrd0bbjh02/; https://www.homes.com/property/1630-mandeville-canyon-rd-los-angeles-ca/ny184045tmmgt/</t>
  </si>
  <si>
    <t>House 1: Estimated Value: $6,272,000 - $16,505,106; House 2: Estimated Value: $3,690,000 - $4,553,000; House 3: Estimated Value: $8,347,000. Reference for Trust Fund: https://www.sec.gov/Archives/edgar/data/1805385/000110465922112066/tm2223539-1_posam.htm</t>
  </si>
  <si>
    <t>Andy Fang</t>
  </si>
  <si>
    <t>$1.7B</t>
  </si>
  <si>
    <t>Monte Vista</t>
  </si>
  <si>
    <t>Robert Fisher</t>
  </si>
  <si>
    <t>Gary Michelson</t>
  </si>
  <si>
    <t>https://brentwoodnewsla.com/billionaire-orthopedic-surgeon-buys-23-9-million-brentwood-mansion/</t>
  </si>
  <si>
    <t>William Fisher</t>
  </si>
  <si>
    <t>Paul Sciarra</t>
  </si>
  <si>
    <t>Nicholas Pritzker</t>
  </si>
  <si>
    <t>$1.6B</t>
  </si>
  <si>
    <t>Nicasio</t>
  </si>
  <si>
    <t>Edward Glazer</t>
  </si>
  <si>
    <t>https://www.homes.com/property/52-beverly-park-way-beverly-hills-ca/rkf4wp6ql0gd7/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</si>
  <si>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7,167,000 (no range). Home purchased Jan 2008.</t>
    </r>
  </si>
  <si>
    <t>Bill Gross</t>
  </si>
  <si>
    <t>https://www.ocregister.com/2018/07/12/pimco-founder-bill-gross-buys-oceanfront-laguna-beach-home-for-35-8-million/</t>
  </si>
  <si>
    <t>Gross owns another Laguna mansion worth $32,000,000.</t>
  </si>
  <si>
    <t>Art Levinson</t>
  </si>
  <si>
    <t>Kevin Marchetti</t>
  </si>
  <si>
    <t>Jeffrey Gundlach</t>
  </si>
  <si>
    <t>https://buffalonews.com/entertainment/arts-and-theatre/jeffrey-gundlach-the-man-behind-the-millions/article_3ac395ee-59c1-5659-89f9-8d1bf6e75a89.html</t>
  </si>
  <si>
    <t>Sue Gross</t>
  </si>
  <si>
    <t>https://www.homes.com/property/144-monte-carlo-dr-laguna-beach-ca/xg2w65bmqx27x/</t>
  </si>
  <si>
    <t>News inform thta she has a Palm Desert house, but I couldn't find it</t>
  </si>
  <si>
    <t>Michael Cagney</t>
  </si>
  <si>
    <t>https://www.homes.com/property/5225-maacama-ridge-rd-healdsburg-ca/zltnlmerk7sjv/</t>
  </si>
  <si>
    <r>
      <rPr>
        <rFont val="Arial"/>
      </rPr>
      <t xml:space="preserve">Estimated Value: $10,961,462, sold other home in SF for 7,983,000 in Oct 2025: </t>
    </r>
    <r>
      <rPr>
        <rFont val="Arial"/>
        <color rgb="FF1155CC"/>
        <u/>
      </rPr>
      <t>https://www.homes.com/property/2635-lyon-st-san-francisco-ca/ebwpp90x0hj1y/</t>
    </r>
  </si>
  <si>
    <t>Charles Liang</t>
  </si>
  <si>
    <t>Benoit Dageville</t>
  </si>
  <si>
    <t>San Carlos</t>
  </si>
  <si>
    <t>Doris Fisher</t>
  </si>
  <si>
    <t>$1.5B</t>
  </si>
  <si>
    <t>https://www.homes.com/property/3456-washington-st-san-francisco-ca/5d1del25rt9yp/</t>
  </si>
  <si>
    <t>Estimated value on homes.com is $5,901,000 - $15,398,401; the refrence confirming the ownership: https://sfyimby.com/2025/03/preliminary-plans-for-billionaire-owned-home-in-presidio-heights-san-francisco.html</t>
  </si>
  <si>
    <t>Steven Tisch</t>
  </si>
  <si>
    <t>https://www.homes.com/property/1162-tower-rd-beverly-hills-ca/qnh4f481ptw1y/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</si>
  <si>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$7,724,000 - $15,713,764.</t>
    </r>
  </si>
  <si>
    <t>Peter Guber</t>
  </si>
  <si>
    <t>Ben Silbermann</t>
  </si>
  <si>
    <t>https://www.homes.com/property/33-16th-st-hermosa-beach-ca/01q976qwnm5z2/</t>
  </si>
  <si>
    <t>Estimated Value: $5,358,936 - $6,016,000</t>
  </si>
  <si>
    <t>Nikil Viswanathan</t>
  </si>
  <si>
    <t>Joe Lau</t>
  </si>
  <si>
    <t>Stanford</t>
  </si>
  <si>
    <t>Mike Speiser</t>
  </si>
  <si>
    <t>Sundar Pichai</t>
  </si>
  <si>
    <t>https://timesofindia.indiatimes.com/etimes/trending/sundar-pichais-journey-from-humble-beginnings-to-google-ceo-and-a-40-million-california-mansion/articleshow/113258369.cms</t>
  </si>
  <si>
    <t>https://www.homes.com/property/25857-westwind-way-los-altos-hills-ca/v5xlh1z2ch94t/; https://www.re-thinkingthefuture.com/architectural-facts/a8184-sundar-pichai-house-10-facts-through-architects-lens/; https://losaltoshills.granicus.com/MetaViewer.php?view_id=3&amp;clip_id=306&amp;meta_id=42884</t>
  </si>
  <si>
    <t>Estimated Value: $5,400,000 - $8,195,833</t>
  </si>
  <si>
    <t>Michael Teel</t>
  </si>
  <si>
    <t>Sacramento</t>
  </si>
  <si>
    <t>https://www.homes.com/property/5821-river-oak-way-carmichael-ca/g7k2zwv2vfp5w/</t>
  </si>
  <si>
    <t>https://www.homes.com/property/20-crystal-dr-crystal-bay-nv/h43f6rey97jbe/</t>
  </si>
  <si>
    <t>Estimated value of Carmichael home is $885,000 - $3,654,299, Nevada home estimated value is $6,190,000 - $27,463,868 (sold for $24,850,000 in 2020 to Teel)</t>
  </si>
  <si>
    <t>Magic Johnson</t>
  </si>
  <si>
    <t>$1.4B</t>
  </si>
  <si>
    <t>https://www.homes.com/property/12-beverly-park-beverly-hills-ca/e5yt4yzd0p2bz/</t>
  </si>
  <si>
    <r>
      <rPr>
        <rFont val="Arial"/>
      </rPr>
      <t xml:space="preserve">https://www.homes.com/property/12-beverly-park-beverly-hills-ca/e5yt4yzd0p2bz/; https://www.homes.com/property/74-ritz-cove-dr-dana-point-ca/3ydn7gf1pjgmn/; </t>
    </r>
    <r>
      <rPr>
        <rFont val="Arial"/>
        <color rgb="FF1155CC"/>
        <u/>
      </rPr>
      <t>https://www.homes.com/property/5309-delta-river-dr-lansing-mi/r6j7x5t79r0e6/</t>
    </r>
  </si>
  <si>
    <r>
      <rPr>
        <rFont val="Arial"/>
      </rPr>
      <t xml:space="preserve">House 1 : Estimated value on </t>
    </r>
    <r>
      <rPr>
        <rFont val="Arial"/>
        <color rgb="FF1155CC"/>
        <u/>
      </rPr>
      <t>homes.com</t>
    </r>
    <r>
      <rPr>
        <rFont val="Arial"/>
      </rPr>
      <t xml:space="preserve"> is $7,196,000; Hosue 2: $4,549,000 - $11,210,364; House 3: Estimated Value: $684,000 - $1,014,374</t>
    </r>
  </si>
  <si>
    <t>George Marcus</t>
  </si>
  <si>
    <t>https://www.homes.com/property/27900-black-mountain-rd-los-altos-hills-ca/scgqmgwh8hdgw/</t>
  </si>
  <si>
    <t>Estimated Value: $6,707,000 - $7,271,292</t>
  </si>
  <si>
    <t>Mark Pincus</t>
  </si>
  <si>
    <t>https://www.celebritynetworth.com/richest-businessmen/ceos/mark-pincus-net-worth/</t>
  </si>
  <si>
    <r>
      <rPr>
        <rFont val="Arial"/>
      </rPr>
      <t xml:space="preserve">https://www.ptreyeslight.com/news/bolinas-man-sues-state-over-seawall/#:~:text=of%20the%20beach.%E2%80%9D-,Mr.,would%20be%20funded%20by%20AMJT. ; </t>
    </r>
    <r>
      <rPr>
        <rFont val="Arial"/>
        <color rgb="FF1155CC"/>
        <u/>
      </rPr>
      <t>https://www.zillow.com/homedetails/100-Brighton-Ave-Bolinas-CA-94924/19306502_zpid/</t>
    </r>
  </si>
  <si>
    <t xml:space="preserve"> Pincus also bought a $4 million Bolinas, CA, mansion in 2009. Pincus kept the Bolinas house, 100 Brighton Ave, Bolinas, according to a 2022 report. Mark Pincus sold the 2.85 house (https://www.nbcbayarea.com/news/local/zyngas-mark-pincus-sells-his-san-francisco-home/1914108/) and the 18 mi house (https://www.businessinsider.com/mark-pincus-lists-san-francisco-home-2014-9)</t>
  </si>
  <si>
    <t>Lucy Guo</t>
  </si>
  <si>
    <t>https://www.wsj.com/real-estate/luxury-homes/billionaire-ai-co-founder-lucy-guo-pays-nearly-30-million-for-l-a-spec-house-9da5120f</t>
  </si>
  <si>
    <t>https://www.realtor.com/news/celebrity-real-estate/lucy-guo-billionaire-mansion-los-angeles-net-worth/; https://www.wsj.com/real-estate/luxury-homes/billionaire-ai-co-founder-lucy-guo-pays-nearly-30-million-for-l-a-spec-house-9da5120f; https://www.homes.com/property/1680-n-doheny-dr-los-angeles-ca/34xk7zw72teex/</t>
  </si>
  <si>
    <r>
      <rPr>
        <rFont val="Arial"/>
        <color rgb="FF1155CC"/>
        <u/>
      </rPr>
      <t>Homes.com</t>
    </r>
    <r>
      <rPr>
        <rFont val="Arial"/>
      </rPr>
      <t xml:space="preserve"> discloses the selling price as $29,500,000; however on their website the owner is  "1680 N Doheny Drive Llc"</t>
    </r>
  </si>
  <si>
    <t>Brett Adcock</t>
  </si>
  <si>
    <t>Nikesh Arora</t>
  </si>
  <si>
    <r>
      <rPr>
        <rFont val="Arial"/>
        <color rgb="FF000000"/>
      </rPr>
      <t xml:space="preserve">Sold Atherton home for $18.8M in 2017: </t>
    </r>
    <r>
      <rPr>
        <rFont val="Arial"/>
        <color rgb="FF467886"/>
        <u/>
      </rPr>
      <t>https://www.realtor.com/news/celebrity-real-estate/nikesh-arora-selling-atherton-mansion/</t>
    </r>
  </si>
  <si>
    <t>Thierry Cruanes</t>
  </si>
  <si>
    <t>$1.3B</t>
  </si>
  <si>
    <t>San Mateo</t>
  </si>
  <si>
    <t>https://www.homes.com/property/1547-forge-rd-san-mateo-ca/wtmg59xeew5jg/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</si>
  <si>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$2,491,046 - $2,648,000.</t>
    </r>
  </si>
  <si>
    <t>Sanjay Gajendra</t>
  </si>
  <si>
    <t>https://southsfbaynews.com/home-sales-in-santa-clara-county-in-week-ending-feb-10/</t>
  </si>
  <si>
    <t>Buyer: AKKASALAMAKKI GAJENDRA SANJAY TRUSTEE NAYAK ROOPA TRUSTEE</t>
  </si>
  <si>
    <t>Jitendra Mohan</t>
  </si>
  <si>
    <t>https://www.homes.com/property/2793-glorietta-cir-santa-clara-ca/8fmm2ykrfp59c/</t>
  </si>
  <si>
    <t>https://www.homes.com/property/2793-glorietta-cir-santa-clara-ca/8fmm2ykrfp59c/ ; https://www.homes.com/property/1475-country-club-dr-los-altos-ca/bvw0ex36demm4/; https://www.homes.com/property/6820-lancaster-rd-dublin-ca/x9wgfh09xcbnn/</t>
  </si>
  <si>
    <t>House 1 Estimated value on homes.com is $2,686,785 - $3,006,000; House 2 Estimated Value $8,001,000 - $10,133,965; House 3 Estimated Value: $1,099,000 - $1,495,000</t>
  </si>
  <si>
    <t>Frederic Luddy</t>
  </si>
  <si>
    <t>https://www.sandiegouniontribune.com/2014/09/24/sports-betting-icons-home-sold-for-13m/</t>
  </si>
  <si>
    <t>Marissa Mayer</t>
  </si>
  <si>
    <t>https://www.celebritynetworth.com/richest-businessmen/ceos/marissa-mayer-net-worth/</t>
  </si>
  <si>
    <t>Richard Kayne</t>
  </si>
  <si>
    <t>Santa Monica</t>
  </si>
  <si>
    <t>https://www.homes.com/property/801-woodacres-rd-santa-monica-ca/dq03b039mb926/</t>
  </si>
  <si>
    <t>Estimated value of Santa Monica home is $6,209,000 - $16,047,864</t>
  </si>
  <si>
    <t>JoeBen Bevirt</t>
  </si>
  <si>
    <t>Shyam Sankar</t>
  </si>
  <si>
    <t>https://www.homes.com/property/1730-university-ave-palo-alto-ca/m2pgx4ydnzy53/</t>
  </si>
  <si>
    <t>Estimated Value: $5,797,058 - $6,797,000</t>
  </si>
  <si>
    <t>LeBron James</t>
  </si>
  <si>
    <t>https://nypost.com/2025/11/20/sports/see-photos-of-lebron-james-37-million-beverly-hills-home/</t>
  </si>
  <si>
    <t>https://www.realtor.com/news/celebrity-real-estate/lebron-james-los-angeles-lakers-home-points-nba/</t>
  </si>
  <si>
    <t>Aman Sanger</t>
  </si>
  <si>
    <t>Michael Truell</t>
  </si>
  <si>
    <t>Steve Huffman</t>
  </si>
  <si>
    <t>$1.2B</t>
  </si>
  <si>
    <t>Stanley Tang</t>
  </si>
  <si>
    <t>Donald Friese</t>
  </si>
  <si>
    <t>https://www.homes.com/property/20029-northridge-rd-chatsworth-ca/nj7br6e25n9bn/</t>
  </si>
  <si>
    <t>https://www.homes.com/property/11794-ellice-st-malibu-ca/nqj39y76kjbyw/</t>
  </si>
  <si>
    <t>Estimated Value of Chatsworth home: $4,304,000 - $5,413,302, estimated value of second home in Malibu: $4,281,000 - $16,223,767</t>
  </si>
  <si>
    <t>Jean-Marc Chapus</t>
  </si>
  <si>
    <t>https://andreaselsenhans.com/norman-lear-finds-buyer-for-longtime-los-angeles-estate/; https://www.homes.com/property/458-toyopa-dr-pacific-palisades-ca/xgvvj3d6g655r/#:~:text=Current%20Estimated%20Value</t>
  </si>
  <si>
    <t>House 1: 27 mi; House 2: Estimated Value: $5,919,000 - $15,376,212; TrustFund reference: https://www.sec.gov/Archives/edgar/data/1723648/000089924321025264/xslF345X03/doc4.xml</t>
  </si>
  <si>
    <t>Arnold Schwarzenegger</t>
  </si>
  <si>
    <t>$1.1B</t>
  </si>
  <si>
    <t>https://www.homes.com/property/12989-chalon-rd-los-angeles-ca/vzh93nfhkznsx/; https://www.homes.com/property/119-lake-creek-meadow-rd-ketchum-id/y0wr9vk9wwveg/; https://www.hellomagazine.com/homes/840524/arnold-schwarzenegger-los-angeles-idaho-homes/; https://virtualglobetrotting.com/map/arnold-schwarzeneggers-house-2/view/google/</t>
  </si>
  <si>
    <r>
      <rPr>
        <rFont val="Arial"/>
      </rPr>
      <t xml:space="preserve">Home 1: Estimated value on </t>
    </r>
    <r>
      <rPr>
        <rFont val="Arial"/>
        <color rgb="FF1155CC"/>
        <u/>
      </rPr>
      <t>homes.com</t>
    </r>
    <r>
      <rPr>
        <rFont val="Arial"/>
      </rPr>
      <t xml:space="preserve"> is $5,299,000; Home 2 (Idaho): Estimated Value: $5,588,000</t>
    </r>
  </si>
  <si>
    <t>Theresia Gouw</t>
  </si>
  <si>
    <t>https://www.homes.com/property/320-kellogg-ave-palo-alto-ca/98lwzz13kxwmq/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</si>
  <si>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$6,511,000 - $13,122,419.</t>
    </r>
  </si>
  <si>
    <t>Chi Fung Cheng</t>
  </si>
  <si>
    <t>Jeff Lawson</t>
  </si>
  <si>
    <t>Joe Kiani</t>
  </si>
  <si>
    <t>https://www.homes.com/property/50-blue-heron-irvine-ca/mq2wf6e3eegw4/</t>
  </si>
  <si>
    <t>https://www.homes.com/property/50-blue-heron-irvine-ca/mq2wf6e3eegw4/ ; https://www.homes.com/property/1-point-catalina-laguna-niguel-ca/pc40eegh58b99/; https://www.homes.com/property/35-brindisi-laguna-niguel-ca/lqqm8n7q7m20z/</t>
  </si>
  <si>
    <t>Home 1: Estimated value on homes.com is $9,071,000 - $13,476,701; Home 2: Estimated value on homes.com is $7,733,000 - $10,754,000; Home 3: Estimated value on homes.com is $2,111,901 - $3,860,000</t>
  </si>
  <si>
    <t>Evan Wallace</t>
  </si>
  <si>
    <t>$1B</t>
  </si>
  <si>
    <t>Tom Preston-Werner</t>
  </si>
  <si>
    <t>Trae Stephens</t>
  </si>
  <si>
    <t>https://www.homes.com/property/2980-california-st-san-francisco-ca/6wj2vym2ztd2b/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</si>
  <si>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$5,319,000 - $6,317,072</t>
    </r>
  </si>
  <si>
    <t>COUNTA of Residence</t>
  </si>
  <si>
    <t>Billionaires</t>
  </si>
  <si>
    <t>Aggregate Wealth</t>
  </si>
  <si>
    <t>Share of Total</t>
  </si>
  <si>
    <t>Top 20</t>
  </si>
  <si>
    <t>Top 10</t>
  </si>
  <si>
    <t>Top 5</t>
  </si>
  <si>
    <t>Descriptive Statistics (Billionaire Wealth)</t>
  </si>
  <si>
    <t>Mean</t>
  </si>
  <si>
    <t>Median</t>
  </si>
  <si>
    <t>Mode</t>
  </si>
  <si>
    <t>Std. Deviation</t>
  </si>
  <si>
    <t>Max</t>
  </si>
  <si>
    <t>Min</t>
  </si>
  <si>
    <t>Sum</t>
  </si>
  <si>
    <t>Count</t>
  </si>
  <si>
    <t>Moving?</t>
  </si>
  <si>
    <t>Moving Count</t>
  </si>
  <si>
    <t>Moving Net Worth</t>
  </si>
  <si>
    <t>Yes</t>
  </si>
  <si>
    <t>No</t>
  </si>
  <si>
    <t>Descriptive Statistics (House Price)</t>
  </si>
  <si>
    <t>Descriptive Statistics (Total Res. Real Estate)</t>
  </si>
  <si>
    <t>Grand Total</t>
  </si>
  <si>
    <t>5% One-Time Tax Scenario</t>
  </si>
  <si>
    <t>1% One-Time Tax Scenario</t>
  </si>
  <si>
    <t>Net Worth</t>
  </si>
  <si>
    <t>Total Residential Real Estate*</t>
  </si>
  <si>
    <t>Net Worth - TRRE</t>
  </si>
  <si>
    <t>Capital Gains Rate</t>
  </si>
  <si>
    <t>Wealth Tax Rate</t>
  </si>
  <si>
    <t>5% Wealth Tax Revenues</t>
  </si>
  <si>
    <t>Cap Gain Initial Calc (5%)</t>
  </si>
  <si>
    <t>5% Capital Gains Revenues</t>
  </si>
  <si>
    <t>Interest Rate</t>
  </si>
  <si>
    <t>1% Wealth Tax Revenues</t>
  </si>
  <si>
    <t>Cap Gain Initial Calc (1%)</t>
  </si>
  <si>
    <t>1% Capital Gains Revenues</t>
  </si>
  <si>
    <r>
      <rPr>
        <rFont val="Arial"/>
        <color rgb="FF467886"/>
        <u/>
      </rPr>
      <t xml:space="preserve">https://www.inman.com/2020/06/11/entertainment-mogul-david-geffen-buys-la-luxury-estate-for-68m/; </t>
    </r>
    <r>
      <rPr>
        <rFont val="Arial"/>
        <color rgb="FF1155CC"/>
        <u/>
      </rPr>
      <t>https://www.forbes.com/sites/erincarlyle/2014/05/07/a-look-at-billionaire-david-geffens-1-1-billion-stash-of-dream-palaces/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</si>
  <si>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$6,882,000 - $19,119,746 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</si>
  <si>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$5,573,000 $8,683,775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</si>
  <si>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$6,522,000 - $8,107,000.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</si>
  <si>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6,309,000-15,830,193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</si>
  <si>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$916,859 - $1,131,000</t>
    </r>
  </si>
  <si>
    <r>
      <rPr>
        <rFont val="Arial"/>
      </rPr>
      <t xml:space="preserve">Estimated values on </t>
    </r>
    <r>
      <rPr>
        <rFont val="Arial"/>
        <color rgb="FF1155CC"/>
        <u/>
      </rPr>
      <t>homes.com</t>
    </r>
    <r>
      <rPr>
        <rFont val="Arial"/>
      </rPr>
      <t xml:space="preserve"> is $803,000 - $877,000 and $6,190,389 - $6,985,000.</t>
    </r>
  </si>
  <si>
    <r>
      <rPr>
        <rFont val="Arial"/>
      </rPr>
      <t xml:space="preserve">Estimated value on </t>
    </r>
    <r>
      <rPr>
        <rFont val="Arial"/>
        <color rgb="FF1155CC"/>
        <u/>
      </rPr>
      <t>redfin.com</t>
    </r>
    <r>
      <rPr>
        <rFont val="Arial"/>
      </rPr>
      <t xml:space="preserve"> is $29,608,760.</t>
    </r>
  </si>
  <si>
    <r>
      <rPr>
        <rFont val="Arial"/>
      </rPr>
      <t xml:space="preserve">Main estate consists of 7 properties combined for $30 million dollars according to </t>
    </r>
    <r>
      <rPr>
        <rFont val="Arial"/>
        <color rgb="FF1155CC"/>
        <u/>
      </rPr>
      <t>celebritynetworth.com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</si>
  <si>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$8,902,000 - $17,115,689.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</si>
  <si>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$7,527,000 - $22,222,762.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</si>
  <si>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$6,849,000.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</si>
  <si>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$2,842,000 - $5,884,000.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</si>
  <si>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$8,136,000 - $13,269,963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</si>
  <si>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$5,631,000 - $7,809,894.</t>
    </r>
  </si>
  <si>
    <r>
      <rPr>
        <rFont val="Arial"/>
        <color rgb="FF467886"/>
        <u/>
      </rPr>
      <t xml:space="preserve">https://www.homes.com/property/808-n-beverly-dr-beverly-hills-ca/lgnr8czbm0szq/; </t>
    </r>
    <r>
      <rPr>
        <rFont val="Arial"/>
        <color rgb="FF1155CC"/>
        <u/>
      </rPr>
      <t>https://www.realtytoday.com/articles/36434/20150918/former-la-clipper-owner-donald-sterling-buys-beverly-hills-home-for-18m.htm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</si>
  <si>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$5,584,000 - $11,443,465.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</si>
  <si>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$1,887,000 - $2,072,000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</si>
  <si>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$4,142,000 - $12,982,483.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</si>
  <si>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$9,271,000 - $13,784,748.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</si>
  <si>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$6,578,000 - $12,072,842.</t>
    </r>
  </si>
  <si>
    <r>
      <t xml:space="preserve">Estimated value on </t>
    </r>
    <r>
      <rPr>
        <color rgb="FF1155CC"/>
        <u/>
      </rPr>
      <t>homes.com</t>
    </r>
    <r>
      <t xml:space="preserve"> is $4,126,000 - $5,512,000.</t>
    </r>
  </si>
  <si>
    <r>
      <t xml:space="preserve">Estimated value on </t>
    </r>
    <r>
      <rPr>
        <color rgb="FF1155CC"/>
        <u/>
      </rPr>
      <t>homes.com</t>
    </r>
    <r>
      <t xml:space="preserve"> is $4,895,000 - $7,322,885.</t>
    </r>
  </si>
  <si>
    <t>Kardashian owns other California residences, but the hidden hills mansion is her primary residence.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</si>
  <si>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$5,901,000 - $15,398,401.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</si>
  <si>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$7,724,000 - $15,713,764.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</si>
  <si>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$5,201,141 - $6,085,000.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</si>
  <si>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$7,196,000.</t>
    </r>
  </si>
  <si>
    <t>Pincus also bought a $4 million Bolinas, CA mansion in 2009.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</si>
  <si>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$2,491,046 - $2,648,000.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</si>
  <si>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$2,686,785 - $3,006,000.</t>
    </r>
  </si>
  <si>
    <t>https://andreaselsenhans.com/norman-lear-finds-buyer-for-longtime-los-angeles-estate/</t>
  </si>
  <si>
    <t>https://www.homes.com/property/12989-chalon-rd-los-angeles-ca/vzh93nfhkznsx/</t>
  </si>
  <si>
    <r>
      <rPr>
        <rFont val="Arial"/>
      </rPr>
      <t xml:space="preserve">Home 1: Estimated value on </t>
    </r>
    <r>
      <rPr>
        <rFont val="Arial"/>
        <color rgb="FF1155CC"/>
        <u/>
      </rPr>
      <t>homes.com</t>
    </r>
    <r>
      <rPr>
        <rFont val="Arial"/>
      </rPr>
      <t xml:space="preserve"> is $5,299,000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</si>
  <si>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$6,511,000 - $13,122,419.</t>
    </r>
  </si>
  <si>
    <t>Real Estate Holdings</t>
  </si>
  <si>
    <t>% of Net Worth</t>
  </si>
  <si>
    <t>Adjusted TRRE</t>
  </si>
  <si>
    <t>Billionaires w/ Identified Real Estate</t>
  </si>
  <si>
    <t>Using Primary Residence Only</t>
  </si>
  <si>
    <t>Using Total Reported</t>
  </si>
  <si>
    <t>TRRE Prop NW</t>
  </si>
  <si>
    <t>TRRE</t>
  </si>
  <si>
    <t>25th Percentile</t>
  </si>
  <si>
    <t>75th Percentile</t>
  </si>
  <si>
    <t>Maximum</t>
  </si>
  <si>
    <t>Observations</t>
  </si>
  <si>
    <t>Wealth Tax Scenarios</t>
  </si>
  <si>
    <t>Results (Excl. Cap Gains)</t>
  </si>
  <si>
    <t>W/o Leavers - Revenue Gains ($B)</t>
  </si>
  <si>
    <t>Leavers - Revenue Gains ($B)</t>
  </si>
  <si>
    <t>Scenarios</t>
  </si>
  <si>
    <t>Wealth Tax</t>
  </si>
  <si>
    <t>Capital Gains</t>
  </si>
  <si>
    <t>Total</t>
  </si>
  <si>
    <t>% Change</t>
  </si>
  <si>
    <t>Implied Semi-Elasticity</t>
  </si>
  <si>
    <t>5% Tax</t>
  </si>
  <si>
    <t>1% Per Year</t>
  </si>
  <si>
    <t>Alt Scenarios</t>
  </si>
  <si>
    <t>Brülhart</t>
  </si>
  <si>
    <t>1.25x</t>
  </si>
  <si>
    <t>1.5x</t>
  </si>
  <si>
    <t>Type</t>
  </si>
  <si>
    <t>Y/N</t>
  </si>
  <si>
    <t>Tot Adj NW ($b)</t>
  </si>
  <si>
    <t>Prop</t>
  </si>
  <si>
    <t>Stayers</t>
  </si>
  <si>
    <t>Leavers</t>
  </si>
  <si>
    <t>Real Estate Stats &amp; Impact</t>
  </si>
  <si>
    <t>Net Worth Changes</t>
  </si>
  <si>
    <t>Net Worth Cat</t>
  </si>
  <si>
    <t>Net Worth Total</t>
  </si>
  <si>
    <t>NW</t>
  </si>
  <si>
    <t>NW - TRRE</t>
  </si>
  <si>
    <t>Diff</t>
  </si>
  <si>
    <r>
      <rPr>
        <rFont val="Arial"/>
        <color rgb="FF467886"/>
        <u/>
      </rPr>
      <t xml:space="preserve">https://www.inman.com/2020/06/11/entertainment-mogul-david-geffen-buys-la-luxury-estate-for-68m/; </t>
    </r>
    <r>
      <rPr>
        <rFont val="Arial"/>
        <color rgb="FF1155CC"/>
        <u/>
      </rPr>
      <t>https://www.forbes.com/sites/erincarlyle/2014/05/07/a-look-at-billionaire-david-geffens-1-1-billion-stash-of-dream-palaces/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</si>
  <si>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$6,882,000 - $19,119,746 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</si>
  <si>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$5,573,000 $8,683,775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</si>
  <si>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$6,522,000 - $8,107,000.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</si>
  <si>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6,309,000-15,830,193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</si>
  <si>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$916,859 - $1,131,000</t>
    </r>
  </si>
  <si>
    <r>
      <rPr>
        <rFont val="Arial"/>
      </rPr>
      <t xml:space="preserve">Estimated values on </t>
    </r>
    <r>
      <rPr>
        <rFont val="Arial"/>
        <color rgb="FF1155CC"/>
        <u/>
      </rPr>
      <t>homes.com</t>
    </r>
    <r>
      <rPr>
        <rFont val="Arial"/>
      </rPr>
      <t xml:space="preserve"> is $803,000 - $877,000 and $6,190,389 - $6,985,000.</t>
    </r>
  </si>
  <si>
    <r>
      <rPr>
        <rFont val="Arial"/>
      </rPr>
      <t xml:space="preserve">Estimated value on </t>
    </r>
    <r>
      <rPr>
        <rFont val="Arial"/>
        <color rgb="FF1155CC"/>
        <u/>
      </rPr>
      <t>redfin.com</t>
    </r>
    <r>
      <rPr>
        <rFont val="Arial"/>
      </rPr>
      <t xml:space="preserve"> is $29,608,760.</t>
    </r>
  </si>
  <si>
    <r>
      <rPr>
        <rFont val="Arial"/>
      </rPr>
      <t xml:space="preserve">Main estate consists of 7 properties combined for $30 million dollars according to </t>
    </r>
    <r>
      <rPr>
        <rFont val="Arial"/>
        <color rgb="FF1155CC"/>
        <u/>
      </rPr>
      <t>celebritynetworth.com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</si>
  <si>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$8,902,000 - $17,115,689.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</si>
  <si>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$7,527,000 - $22,222,762.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</si>
  <si>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$6,849,000.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</si>
  <si>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$2,842,000 - $5,884,000.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</si>
  <si>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$8,136,000 - $13,269,963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</si>
  <si>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$5,631,000 - $7,809,894.</t>
    </r>
  </si>
  <si>
    <r>
      <rPr>
        <rFont val="Arial"/>
        <color rgb="FF467886"/>
        <u/>
      </rPr>
      <t xml:space="preserve">https://www.homes.com/property/808-n-beverly-dr-beverly-hills-ca/lgnr8czbm0szq/; </t>
    </r>
    <r>
      <rPr>
        <rFont val="Arial"/>
        <color rgb="FF1155CC"/>
        <u/>
      </rPr>
      <t>https://www.realtytoday.com/articles/36434/20150918/former-la-clipper-owner-donald-sterling-buys-beverly-hills-home-for-18m.htm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</si>
  <si>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$5,584,000 - $11,443,465.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</si>
  <si>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$1,887,000 - $2,072,000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</si>
  <si>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$4,142,000 - $12,982,483.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</si>
  <si>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$9,271,000 - $13,784,748.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</si>
  <si>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$6,578,000 - $12,072,842.</t>
    </r>
  </si>
  <si>
    <r>
      <t xml:space="preserve">Estimated value on </t>
    </r>
    <r>
      <rPr>
        <color rgb="FF1155CC"/>
        <u/>
      </rPr>
      <t>homes.com</t>
    </r>
    <r>
      <t xml:space="preserve"> is $4,126,000 - $5,512,000.</t>
    </r>
  </si>
  <si>
    <r>
      <t xml:space="preserve">Estimated value on </t>
    </r>
    <r>
      <rPr>
        <color rgb="FF1155CC"/>
        <u/>
      </rPr>
      <t>homes.com</t>
    </r>
    <r>
      <t xml:space="preserve"> is $4,895,000 - $7,322,885.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</si>
  <si>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$5,901,000 - $15,398,401.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</si>
  <si>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$7,724,000 - $15,713,764.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</si>
  <si>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$5,201,141 - $6,085,000.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</si>
  <si>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$7,196,000.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</si>
  <si>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$2,491,046 - $2,648,000.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</si>
  <si>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$2,686,785 - $3,006,000.</t>
    </r>
  </si>
  <si>
    <r>
      <rPr>
        <rFont val="Arial"/>
      </rPr>
      <t xml:space="preserve">Home 1: Estimated value on </t>
    </r>
    <r>
      <rPr>
        <rFont val="Arial"/>
        <color rgb="FF1155CC"/>
        <u/>
      </rPr>
      <t>homes.com</t>
    </r>
    <r>
      <rPr>
        <rFont val="Arial"/>
      </rPr>
      <t xml:space="preserve"> is $5,299,000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</si>
  <si>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$6,511,000 - $13,122,419.</t>
    </r>
  </si>
  <si>
    <t>David Sacks</t>
  </si>
  <si>
    <t>https://www.zillow.com/homedetails/2940-Pacific-Ave-San-Francisco-CA-94115/61325112_zpid/</t>
  </si>
  <si>
    <t>Location</t>
  </si>
  <si>
    <t>#</t>
  </si>
  <si>
    <t>Net Worth Sum Stats</t>
  </si>
  <si>
    <t>Standard Dev</t>
  </si>
  <si>
    <t>Alt Lucas Estimate</t>
  </si>
  <si>
    <t>Bottom 43B</t>
  </si>
  <si>
    <t>Next 129B</t>
  </si>
  <si>
    <r>
      <rPr>
        <rFont val="Arial"/>
        <color rgb="FF467886"/>
        <u/>
      </rPr>
      <t xml:space="preserve">https://www.inman.com/2020/06/11/entertainment-mogul-david-geffen-buys-la-luxury-estate-for-68m/; </t>
    </r>
    <r>
      <rPr>
        <rFont val="Arial"/>
        <color rgb="FF1155CC"/>
        <u/>
      </rPr>
      <t>https://www.forbes.com/sites/erincarlyle/2014/05/07/a-look-at-billionaire-david-geffens-1-1-billion-stash-of-dream-palaces/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</si>
  <si>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$6,882,000 - $19,119,746 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</si>
  <si>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$5,573,000 $8,683,775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</si>
  <si>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$6,522,000 - $8,107,000.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</si>
  <si>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6,309,000-15,830,193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</si>
  <si>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$916,859 - $1,131,000</t>
    </r>
  </si>
  <si>
    <r>
      <rPr>
        <rFont val="Arial"/>
      </rPr>
      <t xml:space="preserve">Estimated values on </t>
    </r>
    <r>
      <rPr>
        <rFont val="Arial"/>
        <color rgb="FF1155CC"/>
        <u/>
      </rPr>
      <t>homes.com</t>
    </r>
    <r>
      <rPr>
        <rFont val="Arial"/>
      </rPr>
      <t xml:space="preserve"> is $803,000 - $877,000 and $6,190,389 - $6,985,000.</t>
    </r>
  </si>
  <si>
    <r>
      <rPr>
        <rFont val="Arial"/>
      </rPr>
      <t xml:space="preserve">Estimated value on </t>
    </r>
    <r>
      <rPr>
        <rFont val="Arial"/>
        <color rgb="FF1155CC"/>
        <u/>
      </rPr>
      <t>redfin.com</t>
    </r>
    <r>
      <rPr>
        <rFont val="Arial"/>
      </rPr>
      <t xml:space="preserve"> is $29,608,760.</t>
    </r>
  </si>
  <si>
    <r>
      <rPr>
        <rFont val="Arial"/>
      </rPr>
      <t xml:space="preserve">Main estate consists of 7 properties combined for $30 million dollars according to </t>
    </r>
    <r>
      <rPr>
        <rFont val="Arial"/>
        <color rgb="FF1155CC"/>
        <u/>
      </rPr>
      <t>celebritynetworth.com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</si>
  <si>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$8,902,000 - $17,115,689.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</si>
  <si>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$7,527,000 - $22,222,762.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</si>
  <si>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$6,849,000.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</si>
  <si>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$2,842,000 - $5,884,000.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</si>
  <si>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$8,136,000 - $13,269,963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</si>
  <si>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$5,631,000 - $7,809,894.</t>
    </r>
  </si>
  <si>
    <r>
      <rPr>
        <rFont val="Arial"/>
        <color rgb="FF467886"/>
        <u/>
      </rPr>
      <t xml:space="preserve">https://www.homes.com/property/808-n-beverly-dr-beverly-hills-ca/lgnr8czbm0szq/; </t>
    </r>
    <r>
      <rPr>
        <rFont val="Arial"/>
        <color rgb="FF1155CC"/>
        <u/>
      </rPr>
      <t>https://www.realtytoday.com/articles/36434/20150918/former-la-clipper-owner-donald-sterling-buys-beverly-hills-home-for-18m.htm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</si>
  <si>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$5,584,000 - $11,443,465.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</si>
  <si>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$1,887,000 - $2,072,000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</si>
  <si>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$4,142,000 - $12,982,483.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</si>
  <si>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$9,271,000 - $13,784,748.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</si>
  <si>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$6,578,000 - $12,072,842.</t>
    </r>
  </si>
  <si>
    <r>
      <t xml:space="preserve">Estimated value on </t>
    </r>
    <r>
      <rPr>
        <color rgb="FF1155CC"/>
        <u/>
      </rPr>
      <t>homes.com</t>
    </r>
    <r>
      <t xml:space="preserve"> is $4,126,000 - $5,512,000.</t>
    </r>
  </si>
  <si>
    <r>
      <t xml:space="preserve">Estimated value on </t>
    </r>
    <r>
      <rPr>
        <color rgb="FF1155CC"/>
        <u/>
      </rPr>
      <t>homes.com</t>
    </r>
    <r>
      <t xml:space="preserve"> is $4,895,000 - $7,322,885.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</si>
  <si>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$5,901,000 - $15,398,401.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</si>
  <si>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$7,724,000 - $15,713,764.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</si>
  <si>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$5,201,141 - $6,085,000.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</si>
  <si>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$7,196,000.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</si>
  <si>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$2,491,046 - $2,648,000.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</si>
  <si>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$2,686,785 - $3,006,000.</t>
    </r>
  </si>
  <si>
    <r>
      <rPr>
        <rFont val="Arial"/>
      </rPr>
      <t xml:space="preserve">Home 1: Estimated value on </t>
    </r>
    <r>
      <rPr>
        <rFont val="Arial"/>
        <color rgb="FF1155CC"/>
        <u/>
      </rPr>
      <t>homes.com</t>
    </r>
    <r>
      <rPr>
        <rFont val="Arial"/>
      </rPr>
      <t xml:space="preserve"> is $5,299,000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</si>
  <si>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$6,511,000 - $13,122,419.</t>
    </r>
  </si>
  <si>
    <t>Already Lost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</si>
</sst>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#,##0_);(#,##0)"/>
    <numFmt numFmtId="166" formatCode="#,##0.0"/>
    <numFmt numFmtId="167" formatCode="0.0"/>
  </numFmts>
  <fonts count="19">
    <font>
      <sz val="11.0"/>
      <color theme="1"/>
      <name val="Aptos Narrow"/>
      <scheme val="minor"/>
    </font>
    <font>
      <b/>
      <color rgb="FFFFFFFF"/>
      <name val="Aptos Narrow"/>
      <scheme val="minor"/>
    </font>
    <font>
      <color theme="1"/>
      <name val="Aptos Narrow"/>
      <scheme val="minor"/>
    </font>
    <font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467886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color rgb="FFFF0000"/>
      <name val="Aptos Narrow"/>
      <scheme val="minor"/>
    </font>
    <font>
      <color rgb="FF000000"/>
      <name val="Arial"/>
    </font>
    <font/>
    <font>
      <b/>
      <color rgb="FFFFFFFF"/>
      <name val="Arial"/>
    </font>
    <font>
      <sz val="11.0"/>
      <color rgb="FF000000"/>
      <name val="Calibri"/>
    </font>
    <font>
      <b/>
      <sz val="11.0"/>
      <color rgb="FFFFFFFF"/>
      <name val="Calibri"/>
    </font>
    <font>
      <b/>
      <color theme="1"/>
      <name val="Aptos Narrow"/>
      <scheme val="minor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2" numFmtId="3" xfId="0" applyFont="1" applyNumberFormat="1"/>
    <xf borderId="0" fillId="0" fontId="2" numFmtId="10" xfId="0" applyFont="1" applyNumberFormat="1"/>
    <xf borderId="2" fillId="2" fontId="1" numFmtId="0" xfId="0" applyBorder="1" applyFont="1"/>
    <xf borderId="3" fillId="0" fontId="13" numFmtId="0" xfId="0" applyBorder="1" applyFont="1"/>
    <xf borderId="4" fillId="0" fontId="13" numFmtId="0" xfId="0" applyBorder="1" applyFont="1"/>
    <xf borderId="1" fillId="2" fontId="14" numFmtId="3" xfId="0" applyAlignment="1" applyBorder="1" applyFont="1" applyNumberFormat="1">
      <alignment readingOrder="0"/>
    </xf>
    <xf borderId="1" fillId="2" fontId="14" numFmtId="0" xfId="0" applyAlignment="1" applyBorder="1" applyFont="1">
      <alignment readingOrder="0"/>
    </xf>
    <xf borderId="1" fillId="2" fontId="2" numFmtId="0" xfId="0" applyBorder="1" applyFont="1"/>
    <xf borderId="1" fillId="2" fontId="14" numFmtId="0" xfId="0" applyAlignment="1" applyBorder="1" applyFont="1">
      <alignment horizontal="center" readingOrder="0"/>
    </xf>
    <xf borderId="2" fillId="2" fontId="14" numFmtId="0" xfId="0" applyAlignment="1" applyBorder="1" applyFont="1">
      <alignment horizontal="center" readingOrder="0"/>
    </xf>
    <xf borderId="3" fillId="2" fontId="14" numFmtId="0" xfId="0" applyAlignment="1" applyBorder="1" applyFont="1">
      <alignment horizontal="center" readingOrder="0"/>
    </xf>
    <xf borderId="0" fillId="0" fontId="2" numFmtId="165" xfId="0" applyFont="1" applyNumberFormat="1"/>
    <xf borderId="0" fillId="0" fontId="2" numFmtId="164" xfId="0" applyFont="1" applyNumberFormat="1"/>
    <xf borderId="0" fillId="0" fontId="3" numFmtId="165" xfId="0" applyAlignment="1" applyFont="1" applyNumberFormat="1">
      <alignment readingOrder="0"/>
    </xf>
    <xf borderId="1" fillId="2" fontId="1" numFmtId="3" xfId="0" applyAlignment="1" applyBorder="1" applyFont="1" applyNumberFormat="1">
      <alignment readingOrder="0"/>
    </xf>
    <xf borderId="1" fillId="2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3" xfId="0" applyAlignment="1" applyBorder="1" applyFont="1" applyNumberFormat="1">
      <alignment readingOrder="0"/>
    </xf>
    <xf borderId="1" fillId="0" fontId="2" numFmtId="3" xfId="0" applyBorder="1" applyFont="1" applyNumberFormat="1"/>
    <xf borderId="1" fillId="0" fontId="2" numFmtId="10" xfId="0" applyBorder="1" applyFont="1" applyNumberFormat="1"/>
    <xf borderId="1" fillId="0" fontId="3" numFmtId="3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11" numFmtId="0" xfId="0" applyBorder="1" applyFont="1"/>
    <xf borderId="0" fillId="3" fontId="15" numFmtId="0" xfId="0" applyAlignment="1" applyFill="1" applyFont="1">
      <alignment shrinkToFit="0" vertical="bottom" wrapText="0"/>
    </xf>
    <xf borderId="2" fillId="4" fontId="16" numFmtId="0" xfId="0" applyAlignment="1" applyBorder="1" applyFill="1" applyFont="1">
      <alignment horizontal="center" readingOrder="0" shrinkToFit="0" vertical="bottom" wrapText="0"/>
    </xf>
    <xf borderId="5" fillId="4" fontId="16" numFmtId="0" xfId="0" applyAlignment="1" applyBorder="1" applyFont="1">
      <alignment horizontal="center" readingOrder="0" shrinkToFit="0" vertical="center" wrapText="0"/>
    </xf>
    <xf borderId="6" fillId="0" fontId="13" numFmtId="0" xfId="0" applyBorder="1" applyFont="1"/>
    <xf borderId="7" fillId="0" fontId="13" numFmtId="0" xfId="0" applyBorder="1" applyFont="1"/>
    <xf borderId="8" fillId="4" fontId="16" numFmtId="0" xfId="0" applyAlignment="1" applyBorder="1" applyFont="1">
      <alignment readingOrder="0" shrinkToFit="0" vertical="bottom" wrapText="0"/>
    </xf>
    <xf borderId="9" fillId="0" fontId="13" numFmtId="0" xfId="0" applyBorder="1" applyFont="1"/>
    <xf borderId="10" fillId="0" fontId="13" numFmtId="0" xfId="0" applyBorder="1" applyFont="1"/>
    <xf borderId="11" fillId="0" fontId="13" numFmtId="0" xfId="0" applyBorder="1" applyFont="1"/>
    <xf borderId="1" fillId="4" fontId="16" numFmtId="0" xfId="0" applyAlignment="1" applyBorder="1" applyFont="1">
      <alignment readingOrder="0" shrinkToFit="0" vertical="bottom" wrapText="0"/>
    </xf>
    <xf borderId="10" fillId="4" fontId="16" numFmtId="0" xfId="0" applyAlignment="1" applyBorder="1" applyFont="1">
      <alignment readingOrder="0" shrinkToFit="0" vertical="bottom" wrapText="0"/>
    </xf>
    <xf borderId="11" fillId="4" fontId="16" numFmtId="0" xfId="0" applyAlignment="1" applyBorder="1" applyFont="1">
      <alignment readingOrder="0" shrinkToFit="0" vertical="bottom" wrapText="0"/>
    </xf>
    <xf borderId="8" fillId="3" fontId="15" numFmtId="0" xfId="0" applyAlignment="1" applyBorder="1" applyFont="1">
      <alignment readingOrder="0" shrinkToFit="0" vertical="bottom" wrapText="0"/>
    </xf>
    <xf borderId="1" fillId="3" fontId="15" numFmtId="2" xfId="0" applyAlignment="1" applyBorder="1" applyFont="1" applyNumberFormat="1">
      <alignment horizontal="right" readingOrder="0" shrinkToFit="0" vertical="bottom" wrapText="0"/>
    </xf>
    <xf borderId="10" fillId="3" fontId="15" numFmtId="2" xfId="0" applyAlignment="1" applyBorder="1" applyFont="1" applyNumberFormat="1">
      <alignment horizontal="right" readingOrder="0" shrinkToFit="0" vertical="bottom" wrapText="0"/>
    </xf>
    <xf borderId="11" fillId="3" fontId="15" numFmtId="2" xfId="0" applyAlignment="1" applyBorder="1" applyFont="1" applyNumberFormat="1">
      <alignment horizontal="right" readingOrder="0" shrinkToFit="0" vertical="bottom" wrapText="0"/>
    </xf>
    <xf borderId="8" fillId="3" fontId="15" numFmtId="10" xfId="0" applyAlignment="1" applyBorder="1" applyFont="1" applyNumberFormat="1">
      <alignment horizontal="right" readingOrder="0" shrinkToFit="0" vertical="bottom" wrapText="0"/>
    </xf>
    <xf borderId="1" fillId="3" fontId="15" numFmtId="10" xfId="0" applyAlignment="1" applyBorder="1" applyFont="1" applyNumberFormat="1">
      <alignment horizontal="right" readingOrder="0" shrinkToFit="0" vertical="bottom" wrapText="0"/>
    </xf>
    <xf borderId="8" fillId="3" fontId="15" numFmtId="2" xfId="0" applyAlignment="1" applyBorder="1" applyFont="1" applyNumberFormat="1">
      <alignment horizontal="right" readingOrder="0" shrinkToFit="0" vertical="bottom" wrapText="0"/>
    </xf>
    <xf borderId="11" fillId="3" fontId="15" numFmtId="10" xfId="0" applyAlignment="1" applyBorder="1" applyFont="1" applyNumberFormat="1">
      <alignment horizontal="right" readingOrder="0" shrinkToFit="0" vertical="bottom" wrapText="0"/>
    </xf>
    <xf borderId="0" fillId="3" fontId="15" numFmtId="165" xfId="0" applyAlignment="1" applyFont="1" applyNumberFormat="1">
      <alignment horizontal="right" readingOrder="0" shrinkToFit="0" vertical="bottom" wrapText="0"/>
    </xf>
    <xf borderId="0" fillId="3" fontId="15" numFmtId="0" xfId="0" applyAlignment="1" applyFont="1">
      <alignment readingOrder="0" shrinkToFit="0" vertical="bottom" wrapText="0"/>
    </xf>
    <xf borderId="0" fillId="3" fontId="15" numFmtId="10" xfId="0" applyAlignment="1" applyFont="1" applyNumberFormat="1">
      <alignment horizontal="right" readingOrder="0" shrinkToFit="0" vertical="bottom" wrapText="0"/>
    </xf>
    <xf borderId="1" fillId="4" fontId="14" numFmtId="0" xfId="0" applyAlignment="1" applyBorder="1" applyFont="1">
      <alignment readingOrder="0"/>
    </xf>
    <xf borderId="1" fillId="0" fontId="2" numFmtId="166" xfId="0" applyBorder="1" applyFont="1" applyNumberFormat="1"/>
    <xf borderId="1" fillId="5" fontId="17" numFmtId="0" xfId="0" applyBorder="1" applyFill="1" applyFont="1"/>
    <xf borderId="1" fillId="5" fontId="18" numFmtId="0" xfId="0" applyAlignment="1" applyBorder="1" applyFont="1">
      <alignment readingOrder="0"/>
    </xf>
    <xf borderId="1" fillId="5" fontId="17" numFmtId="3" xfId="0" applyBorder="1" applyFont="1" applyNumberFormat="1"/>
    <xf borderId="1" fillId="5" fontId="17" numFmtId="166" xfId="0" applyBorder="1" applyFont="1" applyNumberFormat="1"/>
    <xf borderId="1" fillId="5" fontId="17" numFmtId="10" xfId="0" applyBorder="1" applyFont="1" applyNumberFormat="1"/>
    <xf borderId="2" fillId="4" fontId="14" numFmtId="0" xfId="0" applyAlignment="1" applyBorder="1" applyFont="1">
      <alignment horizontal="left" readingOrder="0"/>
    </xf>
    <xf borderId="1" fillId="4" fontId="14" numFmtId="4" xfId="0" applyAlignment="1" applyBorder="1" applyFont="1" applyNumberFormat="1">
      <alignment readingOrder="0"/>
    </xf>
    <xf borderId="1" fillId="0" fontId="2" numFmtId="4" xfId="0" applyBorder="1" applyFont="1" applyNumberFormat="1"/>
    <xf borderId="1" fillId="5" fontId="17" numFmtId="4" xfId="0" applyBorder="1" applyFont="1" applyNumberFormat="1"/>
    <xf borderId="1" fillId="0" fontId="2" numFmtId="0" xfId="0" applyAlignment="1" applyBorder="1" applyFont="1">
      <alignment readingOrder="0"/>
    </xf>
    <xf borderId="2" fillId="4" fontId="14" numFmtId="0" xfId="0" applyAlignment="1" applyBorder="1" applyFont="1">
      <alignment readingOrder="0"/>
    </xf>
    <xf borderId="1" fillId="0" fontId="2" numFmtId="167" xfId="0" applyBorder="1" applyFont="1" applyNumberFormat="1"/>
    <xf borderId="1" fillId="0" fontId="2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E1000" sheet="Raw_Data_Collection"/>
  </cacheSource>
  <cacheFields>
    <cacheField name="Ranking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m/>
      </sharedItems>
    </cacheField>
    <cacheField name="Name" numFmtId="0">
      <sharedItems containsBlank="1">
        <s v="Larry Page"/>
        <s v="Larry Ellison"/>
        <s v="Sergey Brin"/>
        <s v="Mark Zuckerberg"/>
        <s v="Jensen Huang"/>
        <s v="Eric Schmidt"/>
        <s v="Henry Samueli"/>
        <s v="Peter Thiel"/>
        <s v="Robert Pera"/>
        <s v="Adam Foroughi"/>
        <s v="Henry Nicholas III"/>
        <s v="John Doerr"/>
        <s v="Donald Bren"/>
        <s v="Eric Smidt"/>
        <s v="John Tu"/>
        <s v="David Sun"/>
        <s v="Jan Koum"/>
        <s v="George Roberts"/>
        <s v="Laurene Powell Jobs"/>
        <s v="Jack Dangermond"/>
        <s v="Antony Ressler"/>
        <s v="Vinod Khosla"/>
        <s v="Riley Bechtel"/>
        <s v="Dustin Moskovitz"/>
        <s v="Douglas Leone"/>
        <s v="Chris Larsen"/>
        <s v="Brian Armstrong"/>
        <s v="Marijke Mars"/>
        <s v="Tom Gores"/>
        <s v="Andrew Karam"/>
        <s v="Brian Chesky"/>
        <s v="Marc Benioff"/>
        <s v="David Geffen"/>
        <s v="Nathan Blecharczyk"/>
        <s v="Lynsi Snyder"/>
        <s v="Steven Rales"/>
        <s v="Don Hankey"/>
        <s v="Tench Coxe"/>
        <s v="Michael Moritz"/>
        <s v="Edward Roski Jr"/>
        <s v="Michael Milken"/>
        <s v="Steven Spielberg"/>
        <s v="Edythe Broad"/>
        <s v="Scott Cook"/>
        <s v="Baiju Bhatt"/>
        <s v="Vlad Tenev"/>
        <s v="John A. Sobrato"/>
        <s v="Stephen Cohen"/>
        <s v="Rick Caruso"/>
        <s v="Ken Xie"/>
        <s v="Jayshree Ullal"/>
        <s v="Archie Aldis Emmerson"/>
        <s v="Romesh T. Wadhwani"/>
        <s v="Neal Blue"/>
        <s v="Gordon Getty"/>
        <s v="Patrick Soon-Shiong"/>
        <s v="Jean (Gigi) Pritzker"/>
        <s v="Stewart Resnick"/>
        <s v="Lynda Resnick"/>
        <s v="Eduardo Vivas"/>
        <s v="George Lucas"/>
        <s v="Reed Hastings"/>
        <s v="Eric Yuan"/>
        <s v="Gwendolyn Sontheim Meyer"/>
        <s v="Jim Coulter"/>
        <s v="Jack Dorsey"/>
        <s v="David Baszucki"/>
        <s v="Scott Crabill"/>
        <s v="Holden Spaht"/>
        <s v="Seth Boro"/>
        <s v="Michael Xie"/>
        <s v="Dagmar Dolby"/>
        <s v="David Filo"/>
        <s v="Rupert Johnson Jr"/>
        <s v="Anthony Pritzker"/>
        <s v="Rodney Sacks"/>
        <s v="Donald Sterling"/>
        <s v="Sanjit Biswas"/>
        <s v="Thomas Siebel"/>
        <s v="John Bicket"/>
        <s v="José E. Feliciano"/>
        <s v="Meg Whitman"/>
        <s v="Behdad Eghbali"/>
        <s v="Peter Gassner"/>
        <s v="John Fisher"/>
        <s v="Danny Harris"/>
        <s v="Jared Kaplan"/>
        <s v="Dario Amodei"/>
        <s v="Tom Brown"/>
        <s v="Jack Clark"/>
        <s v="Sam McCandlish"/>
        <s v="Daniela Amodei"/>
        <s v="Marco DeGeorge"/>
        <s v="Kavitark Ram Shriram"/>
        <s v="Hemant Taneja"/>
        <s v="Richard Peery"/>
        <s v="Brian Acton"/>
        <s v="Travis Kalanick"/>
        <s v="Palmer Luckey"/>
        <s v="Parker Conrad"/>
        <s v="Frank Slootman"/>
        <s v="George Argyros"/>
        <s v="Jay Paul"/>
        <s v="Vasily Shikin"/>
        <s v="Haim Saban"/>
        <s v="Alexandr Wang"/>
        <s v="Jeff Rothschild"/>
        <s v="William Chisholm"/>
        <s v="Oprah Winfrey"/>
        <s v="Jerry Yang"/>
        <s v="Sean Parker"/>
        <s v="Nicolas Berggruen"/>
        <s v="Aneel Bhusri"/>
        <s v="Tim Draper"/>
        <s v="Daniel Pritzker"/>
        <s v="Jed McCaleb"/>
        <s v="Fred Ehrsam"/>
        <s v="Tony Xu"/>
        <s v="John Pritzker"/>
        <s v="George Joseph"/>
        <s v="Jeff T. Green"/>
        <s v="Tim Cook"/>
        <s v="Anthony Wood"/>
        <s v="Evan Spiegel"/>
        <s v="Barbara Banke"/>
        <s v="Herald Chen"/>
        <s v="Reid Hoffman"/>
        <s v="Jeff Tangney"/>
        <s v="Bennett Rosenthal"/>
        <s v="Bruce Karsh"/>
        <s v="Sheryl Sandberg"/>
        <s v="Joe Lacob"/>
        <s v="Kevin Systrom"/>
        <s v="Kenneth Hao"/>
        <s v="David Kaplan"/>
        <s v="Egon Durban"/>
        <s v="Tom Ford"/>
        <s v="Max Levchin"/>
        <s v="Irving Grousbeck"/>
        <s v="James Scapa"/>
        <s v="Surya Midha"/>
        <s v="Brendan Foody"/>
        <s v="Adarsh Hiremath"/>
        <s v="Sarah MacMillan"/>
        <s v="Jon Winkelried"/>
        <s v="Richard Saghian"/>
        <s v="Alec Gores"/>
        <s v="Drew Houston"/>
        <s v="Walter Wang"/>
        <s v="Patrick Hanrahan"/>
        <s v="Tom Werner"/>
        <s v="Thomas Steyer"/>
        <s v="Bobby Murphy"/>
        <s v="Dylan Field"/>
        <s v="Sam Altman"/>
        <s v="Geoffrey Palmer"/>
        <s v="Evan Williams"/>
        <s v="Riaz Valani"/>
        <s v="Marc Andreessen"/>
        <s v="Kim Kardashian"/>
        <s v="Mark Attanasio"/>
        <s v="Andy Fang"/>
        <s v="Robert Fisher"/>
        <s v="Gary Michelson"/>
        <s v="William Fisher"/>
        <s v="Paul Sciarra"/>
        <s v="Nicholas Pritzker"/>
        <s v="Edward Glazer"/>
        <s v="Bill Gross"/>
        <s v="Art Levinson"/>
        <s v="Kevin Marchetti"/>
        <s v="Jeffrey Gundlach"/>
        <s v="Sue Gross"/>
        <s v="Michael Cagney"/>
        <s v="Charles Liang"/>
        <s v="Benoit Dageville"/>
        <s v="Doris Fisher"/>
        <s v="Steven Tisch"/>
        <s v="Peter Guber"/>
        <s v="Ben Silbermann"/>
        <s v="Nikil Viswanathan"/>
        <s v="Joe Lau"/>
        <s v="Mike Speiser"/>
        <s v="Sundar Pichai"/>
        <s v="Michael Teel"/>
        <s v="Magic Johnson"/>
        <s v="George Marcus"/>
        <s v="Mark Pincus"/>
        <s v="Lucy Guo"/>
        <s v="Brett Adcock"/>
        <s v="Nikesh Arora"/>
        <s v="Thierry Cruanes"/>
        <s v="Sanjay Gajendra"/>
        <s v="Jitendra Mohan"/>
        <s v="Frederic Luddy"/>
        <s v="Marissa Mayer"/>
        <s v="Richard Kayne"/>
        <s v="JoeBen Bevirt"/>
        <s v="Shyam Sankar"/>
        <s v="LeBron James"/>
        <s v="Aman Sanger"/>
        <s v="Michael Truell"/>
        <s v="Steve Huffman"/>
        <s v="Stanley Tang"/>
        <s v="Donald Friese"/>
        <s v="Jean-Marc Chapus"/>
        <s v="Arnold Schwarzenegger"/>
        <s v="Theresia Gouw"/>
        <s v="Chi Fung Cheng"/>
        <s v="Jeff Lawson"/>
        <s v="Joe Kiani"/>
        <s v="Evan Wallace"/>
        <s v="Tom Preston-Werner"/>
        <s v="Trae Stephens"/>
        <m/>
      </sharedItems>
    </cacheField>
    <cacheField name="Net worth" numFmtId="0">
      <sharedItems containsBlank="1">
        <s v="$256.2B"/>
        <s v="$246.1B"/>
        <s v="$236.4B"/>
        <s v="$225.1B"/>
        <s v="$162.6B"/>
        <s v="$35.6B"/>
        <s v="$32B"/>
        <s v="$26.7B"/>
        <s v="$25.5B"/>
        <s v="$25B"/>
        <s v="$21.9B"/>
        <s v="$20B"/>
        <s v="$19.2B"/>
        <s v="$17.9B"/>
        <s v="$17.5B"/>
        <s v="$17.1B"/>
        <s v="$15.9B"/>
        <s v="$14B"/>
        <s v="$13.8B"/>
        <s v="$13.1B"/>
        <s v="$12.5B"/>
        <s v="$11.6B"/>
        <s v="$11.2B"/>
        <s v="$10.7B"/>
        <s v="$10.2B"/>
        <s v="$10.1B"/>
        <s v="$10B"/>
        <s v="$9.8B"/>
        <s v="$9.6B"/>
        <s v="$9.3B"/>
        <s v="$9.2B"/>
        <s v="$9.1B"/>
        <s v="$8.6B"/>
        <s v="$8.1B"/>
        <s v="$7.8B"/>
        <s v="$7.7B"/>
        <s v="$7.6B"/>
        <s v="$7.4B"/>
        <s v="$7B"/>
        <s v="$6.9B"/>
        <s v="$6.7B"/>
        <s v="$6.4B"/>
        <s v="$6.3B"/>
        <s v="$5.9B"/>
        <s v="$5.7B"/>
        <s v="$5.6B"/>
        <s v="$5.5B"/>
        <s v="$5.4B"/>
        <s v="$5.3B"/>
        <s v="$5.1B"/>
        <s v="$5B"/>
        <s v="$4.9B"/>
        <s v="$4.8B"/>
        <s v="$4.5B"/>
        <s v="$4.4B"/>
        <s v="$4.3B"/>
        <s v="$4.1B"/>
        <s v="$4B"/>
        <s v="$3.8B"/>
        <s v="$3.7B"/>
        <s v="$3.6B"/>
        <s v="$3.5B"/>
        <s v="$3.4B"/>
        <s v="$3.3B"/>
        <s v="$3.2B"/>
        <s v="$3.1B"/>
        <s v="$3B"/>
        <s v="$2.9B"/>
        <s v="$2.8B"/>
        <s v="$2.7B"/>
        <s v="$2.6B"/>
        <s v="$2.5B"/>
        <s v="$2.4B"/>
        <s v="$2.3B"/>
        <s v="$2.2B"/>
        <s v="$2.1B"/>
        <s v="$2B"/>
        <s v="$1.9B"/>
        <s v="$1.8B"/>
        <s v="$1.7B"/>
        <s v="$1.6B"/>
        <s v="$1.5B"/>
        <s v="$1.4B"/>
        <s v="$1.3B"/>
        <s v="$1.2B"/>
        <s v="$1.1B"/>
        <s v="$1B"/>
        <m/>
      </sharedItems>
    </cacheField>
    <cacheField name="Net Worth Expanded" numFmtId="3">
      <sharedItems containsString="0" containsBlank="1" containsNumber="1" containsInteger="1">
        <n v="2.562E11"/>
        <n v="2.461E11"/>
        <n v="2.364E11"/>
        <n v="2.251E11"/>
        <n v="1.626E11"/>
        <n v="3.56E10"/>
        <n v="3.2E10"/>
        <n v="2.67E10"/>
        <n v="2.55E10"/>
        <n v="2.5E10"/>
        <n v="2.19E10"/>
        <n v="2.0E10"/>
        <n v="1.92E10"/>
        <n v="1.79E10"/>
        <n v="1.75E10"/>
        <n v="1.71E10"/>
        <n v="1.59E10"/>
        <n v="1.4E10"/>
        <n v="1.38E10"/>
        <n v="1.31E10"/>
        <n v="1.25E10"/>
        <n v="1.16E10"/>
        <n v="1.12E10"/>
        <n v="1.07E10"/>
        <n v="1.02E10"/>
        <n v="1.01E10"/>
        <n v="1.0E10"/>
        <n v="9.8E9"/>
        <n v="9.6E9"/>
        <n v="9.3E9"/>
        <n v="9.2E9"/>
        <n v="9.1E9"/>
        <n v="8.6E9"/>
        <n v="8.1E9"/>
        <n v="7.8E9"/>
        <n v="7.7E9"/>
        <n v="7.6E9"/>
        <n v="7.4E9"/>
        <n v="7.0E9"/>
        <n v="6.9E9"/>
        <n v="6.7E9"/>
        <n v="6.4E9"/>
        <n v="6.3E9"/>
        <n v="5.9E9"/>
        <n v="5.7E9"/>
        <n v="5.6E9"/>
        <n v="5.5E9"/>
        <n v="5.4E9"/>
        <n v="5.3E9"/>
        <n v="5.1E9"/>
        <n v="5.0E9"/>
        <n v="4.9E9"/>
        <n v="4.8E9"/>
        <n v="4.5E9"/>
        <n v="4.4E9"/>
        <n v="4.3E9"/>
        <n v="4.1E9"/>
        <n v="4.0E9"/>
        <n v="3.8E9"/>
        <n v="3.7E9"/>
        <n v="3.6E9"/>
        <n v="3.5E9"/>
        <n v="3.4E9"/>
        <n v="3.3E9"/>
        <n v="3.2E9"/>
        <n v="3.1E9"/>
        <n v="3.0E9"/>
        <n v="2.9E9"/>
        <n v="2.8E9"/>
        <n v="2.7E9"/>
        <n v="2.6E9"/>
        <n v="2.5E9"/>
        <n v="2.4E9"/>
        <n v="2.3E9"/>
        <n v="2.2E9"/>
        <n v="2.1E9"/>
        <n v="2.0E9"/>
        <n v="1.9E9"/>
        <n v="1.8E9"/>
        <n v="1.7E9"/>
        <n v="1.6E9"/>
        <n v="1.5E9"/>
        <n v="1.4E9"/>
        <n v="1.3E9"/>
        <n v="1.2E9"/>
        <n v="1.1E9"/>
        <n v="1.0E9"/>
        <m/>
      </sharedItems>
    </cacheField>
    <cacheField name="Residence" numFmtId="0">
      <sharedItems containsBlank="1">
        <s v="Palo Alto"/>
        <s v="Woodside"/>
        <s v="Los Altos"/>
        <s v="Los Angeles"/>
        <s v="Newport Beach"/>
        <s v="San Jose"/>
        <s v="Truckee"/>
        <s v="Newport Coast"/>
        <s v="Beverly Hills"/>
        <s v="Rolling Hills"/>
        <s v="Irvine"/>
        <s v="Atherton"/>
        <s v="San Francisco"/>
        <s v="Redlands"/>
        <s v="Portola Valley"/>
        <s v="Napa"/>
        <m/>
        <s v="Glendora"/>
        <s v="Santa Barbara"/>
        <s v="Malibu"/>
        <s v="Pacific Palisades"/>
        <s v="Los Altos Hills"/>
        <s v="Saratoga"/>
        <s v="Redding"/>
        <s v="San Diego"/>
        <s v="San Anselmo"/>
        <s v="Santa Cruz"/>
        <s v="Santa Clara"/>
        <s v="Rancho Santa Fe"/>
        <s v="Burlingame"/>
        <s v="Laguna Beach"/>
        <s v="Pleasanton"/>
        <s v="Pacifica"/>
        <s v="Menlo Park"/>
        <s v="Montecito"/>
        <s v="Marin County"/>
        <s v="Berkeley"/>
        <s v="Newbury Park"/>
        <s v="Cupertino"/>
        <s v="Geyserville"/>
        <s v="Hillsborough"/>
        <s v="Venice"/>
        <s v="Hidden Hills"/>
        <s v="Monte Vista"/>
        <s v="Nicasio"/>
        <s v="San Carlos"/>
        <s v="Stanford"/>
        <s v="Sacramento"/>
        <s v="San Mateo"/>
        <s v="Santa Monica"/>
      </sharedItems>
    </cacheField>
    <cacheField name="Moving? (Y/N)" numFmtId="0">
      <sharedItems containsBlank="1">
        <s v="Y"/>
        <s v="N"/>
        <m/>
      </sharedItems>
    </cacheField>
    <cacheField name="House Price" numFmtId="3">
      <sharedItems containsString="0" containsBlank="1" containsNumber="1" containsInteger="1">
        <n v="1.015E8"/>
        <n v="4.5E7"/>
        <n v="3.5E7"/>
        <n v="1.12E8"/>
        <n v="6900000.0"/>
        <n v="1.1E8"/>
        <n v="2.015E7"/>
        <n v="1.15E7"/>
        <n v="2.155E7"/>
        <m/>
        <n v="1.9777777E7"/>
        <n v="5.4E7"/>
        <n v="7250000.0"/>
        <n v="1.87E8"/>
        <n v="2.908416E7"/>
        <n v="7.0E7"/>
        <n v="6.0E7"/>
        <n v="1.7100579E7"/>
        <n v="6.33E7"/>
        <n v="800000.0"/>
        <n v="1.0E7"/>
        <n v="1.35E7"/>
        <n v="1.33E8"/>
        <n v="1.0E8"/>
        <n v="1.8E7"/>
        <n v="6.8E7"/>
        <n v="1.0659988E7"/>
        <n v="8683775.0"/>
        <n v="1.06E7"/>
        <n v="8107000.0"/>
        <n v="1.02E8"/>
        <n v="2.5E8"/>
        <n v="1.3283376E7"/>
        <n v="1.5830193E7"/>
        <n v="1031715.0"/>
        <n v="8.0E7"/>
        <n v="1.8104324E7"/>
        <n v="877000.0"/>
        <n v="4101800.0"/>
        <n v="1.316994E7"/>
        <n v="2.960876E7"/>
        <n v="3.0E7"/>
        <n v="1.7115689E7"/>
        <n v="4.16E7"/>
        <n v="1750000.0"/>
        <n v="3.19E7"/>
        <n v="2.2222762E7"/>
        <n v="6849000.0"/>
        <n v="5884000.0"/>
        <n v="1.3269963E7"/>
        <n v="7809894.0"/>
        <n v="1.95E8"/>
        <n v="1.1443465E7"/>
        <n v="5.0E7"/>
        <n v="6500000.0"/>
        <n v="2.1E7"/>
        <n v="1977425.0"/>
        <n v="2.925E7"/>
        <n v="2572000.0"/>
        <n v="4831145.0"/>
        <n v="1.2982483E7"/>
        <n v="1.3784748E7"/>
        <n v="8.6E7"/>
        <n v="4.33E7"/>
        <n v="1.25E7"/>
        <n v="1.02433E7"/>
        <n v="4.2E7"/>
        <n v="2.825E7"/>
        <n v="5.75E7"/>
        <n v="1.5563106E7"/>
        <n v="5.5E7"/>
        <n v="6.31E7"/>
        <n v="1.2072842E7"/>
        <n v="1.7197E7"/>
        <n v="1.1761216E7"/>
        <n v="1.23E7"/>
        <n v="1.2E8"/>
        <n v="9918000.0"/>
        <n v="1.1668997E7"/>
        <n v="1.3339211E7"/>
        <n v="8683316.0"/>
        <n v="6.882E7"/>
        <n v="1.1E7"/>
        <n v="1.98E7"/>
        <n v="9411000.0"/>
        <n v="4.4E7"/>
        <n v="3.875E7"/>
        <n v="6490000.0"/>
        <n v="5328000.0"/>
        <n v="3526000.0"/>
        <n v="1.2482485E7"/>
        <n v="5512000.0"/>
        <n v="1.41E8"/>
        <n v="1.7E7"/>
        <n v="3.4E7"/>
        <n v="7322885.0"/>
        <n v="1.5315861E7"/>
        <n v="4000000.0"/>
        <n v="2.7E7"/>
        <n v="1.4281449E7"/>
        <n v="1.77E8"/>
        <n v="2.39E7"/>
        <n v="7167000.0"/>
        <n v="3.582E7"/>
        <n v="1.5E7"/>
        <n v="8030000.0"/>
        <n v="1.5398401E7"/>
        <n v="1.5713764E7"/>
        <n v="6085000.0"/>
        <n v="4.0E7"/>
        <n v="3654299.0"/>
        <n v="7196000.0"/>
        <n v="7271292.0"/>
        <n v="2850000.0"/>
        <n v="2.95E7"/>
        <n v="2648000.0"/>
        <n v="3006000.0"/>
        <n v="1.6047864E7"/>
        <n v="3.7E7"/>
        <n v="5413302.0"/>
        <n v="5299000.0"/>
        <n v="1.3122419E7"/>
        <n v="2.8090701E7"/>
        <n v="6317072.0"/>
      </sharedItems>
    </cacheField>
    <cacheField name="House Price Source" numFmtId="0">
      <sharedItems containsBlank="1">
        <s v="https://elmundomiami.com/economy/larry-page-invests-173-4-million-in-the-miami-real-estate-market/"/>
        <s v="https://sfstandard.com/2026/01/05/larry-ellison-san-francisco-home-sale/"/>
        <m/>
        <s v="https://www.realtor.com/news/celebrity-real-estate/mark-zuckerberg-palo-alto-home-fury-neighbors/"/>
        <s v="https://www.yahoo.com/lifestyle/articles/3-most-expensive-properties-nvidia-115457861.html"/>
        <s v="https://www.urbansplatter.com/2024/06/henry-samueli-house-the-california-dwelling/"/>
        <s v="https://labusinessjournal.com/technology/billionaire-peter-thiel-moving-los-angeles/"/>
        <s v="https://www.dailymail.co.uk/sport/nba/article-12947653/Memphis-Grizzlies-billionaire-owner-Robert-Pena-Star-Island-arena.html"/>
        <s v="https://hauteliving.com/2010/01/haute-estate-19-8-million-newport-coast-mansion/18762/"/>
        <s v="https://labusinessjournal.com/special-editions/wealthiest-angelenos/wealthiest-2023/10-eric-smidt/"/>
        <s v="https://blockshopper.com/ca/los-angeles-county/rolling-hills/property/7567015025/6-east-crest-road"/>
        <s v="https://www.celebritynetworth.com/articles/celebrity-homes/two-years-after-paying-100-million-for-a-malibu-mansion-whatsapp-founder-buys-the-house-next-door-for-87-million/"/>
        <s v="https://blockshopper.com/ca/san-mateo-county/atherton/property/070032440/260-atherton-avenue"/>
        <s v="https://fortune.com/2024/07/13/laurene-powell-jobs-buys-mansion-san-francisco-billionaires-row-70-million-record-high/"/>
        <s v="https://www.finance-monthly.com/antony-resslers-net-worth-2025-billionaire-financier-sports-owner-and-philanthropist/"/>
        <s v="https://www.homes.com/property/630-los-trancos-rd-portola-valley-ca/lsj62j03bbdml/"/>
        <s v="https://www.yahoo.com/entertainment/billionaire-riley-bechtel-pays-record-201404351.html"/>
        <s v="https://www.seattletimes.com/business/young-tech-millionaires-keeping-1-bedroom-lifestyle/"/>
        <s v="https://www.celebritynetworth.com/richest-businessmen/richest-billionaires/douglas-leone-net-worth/"/>
        <s v="https://sfstandard.com/2025/09/09/chris-larsen-napa-home/"/>
        <s v="https://www.urbansplatter.com/2022/05/brian-armstrong-house-the-los-angeles-mansion/"/>
        <s v="https://therealdeal.com/la/2016/10/24/platinum-equity-ceo-buys-holmby-hills-spec-home-for-100m/"/>
        <s v="https://www.yahoo.com/entertainment/twitter-ceo-jack-dorsey-scoops-011751538.html"/>
        <s v="https://finance.yahoo.com/news/david-geffen-completes-68-million-192458970.html"/>
        <s v="https://www.homes.com/property/27450-pacific-coast-hwy-malibu-ca/gt8keb94hyyzn/"/>
        <s v="https://www.homes.com/property/1401-emerson-st-palo-alto-ca/znpl6z10qsgvy/"/>
        <s v="https://blockshopper.com/ca/san-francisco-county/san-francisco/property/0953006/2626-vallejo-street"/>
        <s v="https://www.homes.com/property/10051-valley-spring-ln-toluca-lake-ca/kd8ylmg68cld1/"/>
        <s v="https://www.forbes.com/sites/trulia/2014/04/04/las-super-mansion-fleur-de-lys-sells-for-a-record-breaking-102-million/"/>
        <s v="https://www.finance-monthly.com/steven-spielbergs-net-worth-9-5-billion-in-2025/"/>
        <s v="https://www.homes.com/property/75-oakmont-dr-los-angeles-ca/tcbdp4fxzjekc/"/>
        <s v="https://www.homes.com/property/376-mountain-home-rd-woodside-ca/p6sh3hp6plvk6/"/>
        <s v="https://www.homes.com/property/20-willow-rd-menlo-park-ca-unit-8/hbwec8jc2rsrg/"/>
        <s v="https://xabisinc.com/blog/rick-carusos-net-worth-the-secrets-behind-his-real-estate-success/"/>
        <s v="https://www.homes.com/property/352-atherton-ave-atherton-ca/x8c1bf64k72nl/"/>
        <s v="https://www.homes.com/property/190-n-lafayette-st-tracy-ca/x6xzt2lw9j9cx/"/>
        <s v="https://www.zillow.com/homedetails/18988-Smith-Rd-Redding-CA-96002/15212777_zpid/"/>
        <s v="https://www.homes.com/property/26170-w-fremont-rd-los-altos-hills-ca/b1fflmh2yhezd/"/>
        <s v="https://blockshopper.com/ca/san-francisco-county/san-francisco/property/0958030/2870-broadway-street; https://www.redfin.com/CA/San-Francisco/2870-Broadway-St-94115/home/1811887#property-details"/>
        <s v="https://www.celebritynetworth.com/articles/celebrity-homes/patrick-soon-shiongs-house-brentwood-billionaire-doctor-demolished-seven-houses-build-one-insane-mega-property/"/>
        <s v="https://www.homes.com/property/9491-sunset-blvd-beverly-hills-ca/sw2h7klpb942m/"/>
        <s v="https://www.marinij.com/2023/07/29/george-lucas-sues-to-secure-san-anselmo-parcel-ownership/"/>
        <s v="https://www.celebritynetworth.com/richest-businessmen/ceos/reed-hastings-net-worth/"/>
        <s v="https://www.homes.com/property/34-maple-st-san-francisco-ca/83sknmj9zbck7/"/>
        <s v="https://www.homes.com/property/2324-pacific-ave-san-francisco-ca/qpzresp8fbygw/"/>
        <s v="https://www.homes.com/property/429-elizabeth-st-san-francisco-ca/xpxfwnhw0x4kw/"/>
        <s v="https://www.homes.com/property/27161-w-fremont-rd-los-altos-hills-ca/yneqges0z8j44/"/>
        <s v="https://www.homes.com/property/3340-jackson-st-san-francisco-ca/lemwwpgc5tfrh/"/>
        <s v="https://kanebridgenews.com/one-of-americas-biggest-homes-hits-the-market-for-195-million/"/>
        <s v="https://www.homes.com/property/808-n-beverly-dr-beverly-hills-ca/lgnr8czbm0szq/"/>
        <s v="https://palisadesnews.com/private-equity-billionaire-jose-e-feliciano-buys-50-palisades-million-mansion-narrowly-avoids-new-mansion-tax/"/>
        <s v="https://www.latimes.com/business/real-estate/story/2020-08-10/quibi-chief-meg-whitman-lists-west-hollywood-condo-for-6-5-million"/>
        <s v="https://www.yahoo.com/entertainment/billionaire-behdad-eghbali-buys-21-224623408.html"/>
        <s v="https://www.homes.com/property/4512-lin-gate-st-pleasanton-ca/jfjbyjdmsmcgx/"/>
        <s v="https://www.casino.org/news/as-owner-buys-3rd-most-expensive-vegas-home-ever-sold/"/>
        <s v="https://therealdeal.com/la/2017/02/21/alo-yoga-founder-buys-beverly-hills-house-from-bebe-founder-for-30m/"/>
        <s v="https://www.homes.com/property/34-bothin-rd-fairfax-ca-unit-a/trh18zhv4y4gc/"/>
        <s v="https://www.homes.com/property/347-precita-ave-san-francisco-ca/48ds9edzhcj41/"/>
        <s v="https://www.homes.com/property/517-alta-ave-santa-monica-ca/vq4nqr9enjgpr/"/>
        <s v="https://www.homes.com/property/13685-la-paloma-rd-los-altos-hills-ca/fmywnqbsb44wd/"/>
        <s v="https://www.yahoo.com/entertainment/whatsapp-co-founder-brian-acton-174840726.html"/>
        <s v="https://therealdeal.com/la/2020/05/09/uber-buy-travis-kalanick-behind-43m-bel-air-purchase/"/>
        <s v="https://www.forbes.com/sites/iainmartin/2024/07/22/billionaire-palmer-luckey-sues-contractor-after-being-trapped-in-his-mansions-car-elevator/"/>
        <s v="https://www.zillow.com/homedetails/3001-W-Ruby-Hill-Dr-Pleasanton-CA-94566/25087211_zpid/"/>
        <s v="https://www.ocregister.com/2011/08/11/see-how-a-billionaire-lives/"/>
        <s v="https://socketsite.com/archives/2015/11/behind-the-28-5m-fixer-under-wraps-on-billionaires-row.html"/>
        <s v="https://www.mansionglobal.com/articles/mighty-morphin-power-rangers-creator-haim-sabans-malibu-beach-house-gets-a-7-5-million-discount-3b235ba0"/>
        <s v="https://www.homes.com/property/36-ralston-rd-atherton-ca/0b3qvgxhehbf0/"/>
        <s v="https://www.realtor.com/news/celebrity-real-estate/oprah-winfrey-kamala-harris-homes/"/>
        <s v="https://www.latimes.com/business/realestate/hot-property/la-fi-hotprop-ellen-degeneres-20140707-story.html"/>
        <s v="https://www.celebritynetworth.com/articles/celebrity-homes/homeless-billionaire-nicolas-berggruen-is-no-longer-homeless-with-63-million-hearst-estate-purchase/"/>
        <s v="https://www.homes.com/property/200-sea-cliff-ave-san-francisco-ca/6lbnfvv2v66d3/"/>
        <s v="https://www.zillow.com/homedetails/172-Elena-Ave-Atherton-CA-94027/15594080_zpid/ ; https://blockshopper.com/ca/san-mateo-county/atherton/property/070330010/172-elena-avenue"/>
        <s v="https://www.homes.com/property/365-s-hudson-ave-los-angeles-ca/5mnscx6lcnymz/"/>
        <s v="https://www.yahoo.com/lifestyle/tech-billionaire-dropped-12-million-000000451.html"/>
        <s v="https://www.financialexpress.com/life/technology-apple-ceo-tim-cook-a-look-at-his-net-worth-his-career-at-apple-personal-properties-cars-and-more-4047251/"/>
        <s v="https://www.architecturaldigest.com/story/billionaire-snapchat-ceo-evan-spiegel-model-miranda-kerr-la-home"/>
        <s v="https://www.homes.com/property/8251-foxen-canyon-rd-santa-maria-ca/2bmy6843gbkgc/"/>
        <s v="https://www.homes.com/property/45-downey-way-hillsborough-ca/nbrb8lkwthq8p/"/>
        <s v="https://www.homes.com/property/1300-hamilton-ave-palo-alto-ca/e4m6d56y4nv0x/"/>
        <s v="https://www.homes.com/property/707-foothill-rd-beverly-hills-ca/251e7k49sd7c5/"/>
        <s v="https://www.mansionglobal.com/articles/investor-bruce-karsh-buys-grey-estate-in-l-a-for-68-82m-97050"/>
        <s v="https://www.celebritynetworth.com/richest-businessmen/business-executives/sheryl-sandberg-net-worth/"/>
        <s v="https://www.celebritynetworth.com/richest-businessmen/business-executives/joe-lacob-net-worth/"/>
        <s v="https://www.homes.com/property/425-pinehill-rd-hillsborough-ca/2ehv6v96drdxd/"/>
        <s v="https://robbreport.com/shelter/celebrity-homes/egon-durban-house-del-mar-san-diego-1235501340/"/>
        <s v="https://www.mansionglobal.com/articles/tom-ford-drops-39m-on-a-fashionable-los-angeles-home-48537"/>
        <s v="https://www.homes.com/property/706-los-trancos-rd-palo-alto-ca/6cl34trhqwct0/"/>
        <s v="https://www.yahoo.com/entertainment/altair-ceo-james-scapa-drops-151321244.html"/>
        <s v="https://www.homes.com/property/630-olive-st-menlo-park-ca/51jrtwk38571r/"/>
        <s v="https://www.homes.com/property/1396-bittern-dr-sunnyvale-ca/dnswy5ynqxtf1/"/>
        <s v="https://www.homes.com/property/24348-malibu-rd-malibu-ca/epljv02w6jfqm/"/>
        <s v="https://www.homes.com/property/2121-webster-st-san-francisco-ca-unit-ph3/0sh6ewt66bwhf/"/>
        <s v="https://www.forbes.com/sites/emmareynolds/2022/03/09/fashion-nova-ceo-richard-saghian-buys-the-one-megamansion-for-141-million/"/>
        <s v="https://www.celebritynetworth.com/richest-businessmen/ceos/alec-gores/"/>
        <s v="https://eliteagent.com/jennifer-lopez-takes-a-price-cut-on-bel-air-home/"/>
        <s v="https://www.homes.com/property/40-minoca-rd-portola-valley-ca/7q7r3jf36ed8k/"/>
        <s v="https://www.homes.com/property/770-napoli-dr-pacific-palisades-ca/dsbdlqps3szf0/"/>
        <s v="https://www.sfchronicle.com/realestate/article/tom-steyer-sea-cliff-mansion-20036753.php"/>
        <s v="https://finance.yahoo.com/news/snapchat-billionaire-bobby-murphy-drops-012820960.html"/>
        <s v="https://www.forbes.com/sites/brianbushard/2024/07/17/billionaire-sam-altman-claims-27-million-san-francisco-mansion-is-a-lemon/"/>
        <s v="https://www.homes.com/property/626-n-arden-dr-beverly-hills-ca/rvkrdgh787ske/"/>
        <s v="https://www.wsj.com/real-estate/luxury-homes/johnny-carsons-longtime-malibu-home-lists-for-110-million-a9331324"/>
        <s v="https://www.celebritynetworth.com/articles/celebrity-homes/marc-andreessen-just-paid-177-million-for-a-seven-acre-malibu-estate-the-second-most-expensive-home-sold-in-us-history/"/>
        <s v="https://www.realtor.com/news/celebrity-real-estate/kim-kardashian-buys-hidden-hills-home-kanye-west/"/>
        <s v="https://therealdeal.com/la/2023/07/26/malibu-home-of-milwaukee-brewers-owner-goes-into-contract-for-25m/"/>
        <s v="https://brentwoodnewsla.com/billionaire-orthopedic-surgeon-buys-23-9-million-brentwood-mansion/"/>
        <s v="https://www.homes.com/property/52-beverly-park-way-beverly-hills-ca/rkf4wp6ql0gd7/"/>
        <s v="https://www.ocregister.com/2018/07/12/pimco-founder-bill-gross-buys-oceanfront-laguna-beach-home-for-35-8-million/"/>
        <s v="https://buffalonews.com/entertainment/arts-and-theatre/jeffrey-gundlach-the-man-behind-the-millions/article_3ac395ee-59c1-5659-89f9-8d1bf6e75a89.html"/>
        <s v="https://www.homes.com/property/144-monte-carlo-dr-laguna-beach-ca/xg2w65bmqx27x/"/>
        <s v="https://www.homes.com/property/3456-washington-st-san-francisco-ca/5d1del25rt9yp/"/>
        <s v="https://www.homes.com/property/1162-tower-rd-beverly-hills-ca/qnh4f481ptw1y/"/>
        <s v="https://www.homes.com/property/33-16th-st-hermosa-beach-ca/01q976qwnm5z2/"/>
        <s v="https://timesofindia.indiatimes.com/etimes/trending/sundar-pichais-journey-from-humble-beginnings-to-google-ceo-and-a-40-million-california-mansion/articleshow/113258369.cms"/>
        <s v="https://www.homes.com/property/5821-river-oak-way-carmichael-ca/g7k2zwv2vfp5w/"/>
        <s v="https://www.homes.com/property/12-beverly-park-beverly-hills-ca/e5yt4yzd0p2bz/"/>
        <s v="https://www.homes.com/property/27900-black-mountain-rd-los-altos-hills-ca/scgqmgwh8hdgw/"/>
        <s v="https://www.celebritynetworth.com/richest-businessmen/ceos/mark-pincus-net-worth/"/>
        <s v="https://www.wsj.com/real-estate/luxury-homes/billionaire-ai-co-founder-lucy-guo-pays-nearly-30-million-for-l-a-spec-house-9da5120f"/>
        <s v="https://www.homes.com/property/1547-forge-rd-san-mateo-ca/wtmg59xeew5jg/"/>
        <s v="https://www.homes.com/property/2793-glorietta-cir-santa-clara-ca/8fmm2ykrfp59c/"/>
        <s v="https://www.celebritynetworth.com/richest-businessmen/ceos/marissa-mayer-net-worth/"/>
        <s v="https://www.homes.com/property/801-woodacres-rd-santa-monica-ca/dq03b039mb926/"/>
        <s v="https://nypost.com/2025/11/20/sports/see-photos-of-lebron-james-37-million-beverly-hills-home/"/>
        <s v="https://www.homes.com/property/20029-northridge-rd-chatsworth-ca/nj7br6e25n9bn/"/>
        <s v="https://www.homes.com/property/320-kellogg-ave-palo-alto-ca/98lwzz13kxwmq/"/>
        <s v="https://www.homes.com/property/50-blue-heron-irvine-ca/mq2wf6e3eegw4/"/>
        <s v="https://www.homes.com/property/2980-california-st-san-francisco-ca/6wj2vym2ztd2b/"/>
      </sharedItems>
    </cacheField>
    <cacheField name="House Price (Assessed) Year" numFmtId="0">
      <sharedItems containsString="0" containsBlank="1" containsNumber="1" containsInteger="1">
        <n v="2024.0"/>
        <n v="2025.0"/>
        <n v="2018.0"/>
        <m/>
        <n v="2010.0"/>
        <n v="2023.0"/>
        <n v="2011.0"/>
        <n v="2021.0"/>
        <n v="2020.0"/>
        <n v="2026.0"/>
        <n v="2022.0"/>
        <n v="2016.0"/>
        <n v="2009.0"/>
        <n v="2002.0"/>
        <n v="2014.0"/>
        <n v="2017.0"/>
        <n v="2019.0"/>
        <n v="2015.0"/>
        <n v="2007.0"/>
        <n v="2005.0"/>
        <n v="2013.0"/>
      </sharedItems>
    </cacheField>
    <cacheField name="Total Residential Real Estate" numFmtId="0">
      <sharedItems containsString="0" containsBlank="1" containsNumber="1" containsInteger="1">
        <m/>
        <n v="3.0E8"/>
        <n v="5.24E7"/>
        <n v="6.0E8"/>
        <n v="2.015E7"/>
        <n v="7.72E7"/>
        <n v="1.9777777E7"/>
        <n v="4.0E8"/>
        <n v="2.42E8"/>
        <n v="1.0E8"/>
        <n v="1.7100579E7"/>
        <n v="8.61E7"/>
        <n v="8.0E7"/>
        <n v="1.35E7"/>
        <n v="1.33E8"/>
        <n v="1.38E8"/>
        <n v="1.32E8"/>
        <n v="5.13E7"/>
        <n v="8683775.0"/>
        <n v="1.06E7"/>
        <n v="8107000.0"/>
        <n v="1.7975E8"/>
        <n v="2.5E8"/>
        <n v="1.3283376E7"/>
        <n v="1.5830193E7"/>
        <n v="8.65E7"/>
        <n v="1.4340561E7"/>
        <n v="7862000.0"/>
        <n v="4101800.0"/>
        <n v="1.316994E7"/>
        <n v="2.960876E7"/>
        <n v="1.625E8"/>
        <n v="1.7115689E7"/>
        <n v="1.23E8"/>
        <n v="3250000.0"/>
        <n v="3.19E7"/>
        <n v="5.9322762E7"/>
        <n v="6849000.0"/>
        <n v="5884000.0"/>
        <n v="2.5671792E7"/>
        <n v="9.0E7"/>
        <n v="1.95E8"/>
        <n v="2.9825465E7"/>
        <n v="5.0E7"/>
        <n v="6500000.0"/>
        <n v="1.5E8"/>
        <n v="1.7143216E7"/>
        <n v="9918000.0"/>
        <n v="5.40622E7"/>
        <n v="1.5315861E7"/>
        <n v="4.75E7"/>
        <n v="1.15E8"/>
        <n v="2.9405106E7"/>
        <n v="8030000.0"/>
        <n v="1.0961462E7"/>
        <n v="1.5398401E7"/>
        <n v="1.5713764E7"/>
        <n v="6016000.0"/>
        <n v="8195833.0"/>
        <n v="3.1118167E7"/>
        <n v="1.9420738E7"/>
        <n v="7271292.0"/>
        <n v="8904500.0"/>
        <n v="2.95E7"/>
        <n v="8089000.0"/>
        <n v="1.4634965E7"/>
        <n v="1.3E7"/>
        <n v="1.6047864E7"/>
        <n v="6797000.0"/>
        <n v="7.0E7"/>
        <n v="2.1637069E7"/>
        <n v="4.3371212E7"/>
        <n v="1.0887E7"/>
        <n v="6317072.0"/>
      </sharedItems>
    </cacheField>
    <cacheField name="TRRE Price (Assessed) Year(s)">
      <sharedItems containsBlank="1" containsMixedTypes="1" containsNumber="1" containsInteger="1">
        <m/>
        <s v="2011-2025"/>
        <n v="2004.0"/>
        <n v="2025.0"/>
        <n v="2024.0"/>
        <s v="2012-2024"/>
        <n v="2010.0"/>
        <n v="2021.0"/>
        <s v="2015-2024"/>
        <n v="2026.0"/>
        <s v="2011-2020"/>
        <s v="2000-2026"/>
        <n v="2022.0"/>
        <s v="2016-2017"/>
        <s v="2010-2020"/>
        <s v="2021-2026"/>
        <n v="2002.0"/>
        <s v="2011-2026"/>
        <s v="2015-2025"/>
        <s v="2004-2024"/>
        <s v="2005-2016"/>
        <s v="2010-2023"/>
        <s v="2013-2016"/>
        <s v="2012-2018"/>
        <s v="2017-2026"/>
        <n v="2023.0"/>
        <s v="2015-2026"/>
        <n v="2020.0"/>
        <s v="2001-2023"/>
        <s v="2024-2026"/>
        <s v="2013-2021"/>
        <n v="2013.0"/>
      </sharedItems>
    </cacheField>
    <cacheField name="TRRE Source" numFmtId="0">
      <sharedItems containsBlank="1">
        <m/>
        <s v="https://robbreport.com/shelter/celebrity-homes/mark-zuckerberg-property-portfolio-1236712447/"/>
        <s v="https://www.foxbusiness.com/lifestyle/nvidias-ceo-extensive-rich-real-estate-portfolio"/>
        <s v="https://robbreport.com/shelter/celebrity-homes/lists/eric-schmidt-property-portfolio-1236832435/"/>
        <s v="https://www.urbansplatter.com/2024/06/henry-samueli-house-the-california-dwelling/"/>
        <s v="https://www.loveproperty.com/gallerylist/73268/billionaire-boltholes-to-survive-the-end-of-the-world; https://shopoahuproperties.com/paypal-co-founder-peter-thiel-buys-maui-home-for-27m/; https://press.farm/inside-peter-thiels-lifestyle/; https://www.aol."/>
        <s v="https://hauteliving.com/2010/01/haute-estate-19-8-million-newport-coast-mansion/18762/"/>
        <s v="https://www.celebritynetworth.com/articles/billionaire-news/jan-koum-grew-up-on-food-stamps-and-now-owns-more-than-400-million-worth-of-california-real-estate/"/>
        <s v="https://fortune.com/2024/06/17/laurene-powell-jobs-94-million-malibu-mansion-apple-steve-jobs-widow/; https://www.architecturaldigest.com/story/laurene-powell-jobs-buys-record-breaking-san-francisco-home"/>
        <s v="https://www.finance-monthly.com/antony-resslers-net-worth-2025-billionaire-financier-sports-owner-and-philanthropist/"/>
        <s v="https://www.homes.com/property/630-los-trancos-rd-portola-valley-ca/lsj62j03bbdml/"/>
        <s v="https://www.yahoo.com/entertainment/billionaire-riley-bechtel-pays-record-201404351.html"/>
        <s v="https://www.celebritynetworth.com/richest-businessmen/richest-billionaires/douglas-leone-net-worth/"/>
        <s v="https://docs.google.com/spreadsheets/d/1-d_IAr8tITUy_s8QmIzH-FLYoODzaBxNMWShu9W7IFk/edit?gid=1121030019#gid=1121030019"/>
        <s v="https://www.urbansplatter.com/2022/05/brian-armstrong-house-the-los-angeles-mansion/"/>
        <s v="https://therealdeal.com/la/2016/10/24/platinum-equity-ceo-buys-holmby-hills-spec-home-for-100m/; https://therealdeal.com/la/2017/12/04/detroit-pistons-owner-tom-gores-pays-38m-for-his-former-beverly-park-home/"/>
        <s v="https://www.inman.com/2020/06/11/entertainment-mogul-david-geffen-buys-la-luxury-estate-for-68m/; https://www.forbes.com/sites/erincarlyle/2014/05/07/a-look-at-billionaire-david-geffens-1-1-billion-stash-of-dream-palaces/"/>
        <s v="https://www.reviewjournal.com/business/housing/l-a-billionaire-buys-summerlin-condo-for-record-high-21m-3609182/; https://therealdeal.com/miami/2021/10/13/billionaire-don-hankey-buys-oceanfront-highland-beach-mansion-for-30m/"/>
        <s v="https://www.homes.com/property/1401-emerson-st-palo-alto-ca/znpl6z10qsgvy/"/>
        <s v="https://blockshopper.com/ca/san-francisco-county/san-francisco/property/0953006/2626-vallejo-street"/>
        <s v="https://www.homes.com/property/10051-valley-spring-ln-toluca-lake-ca/kd8ylmg68cld1/"/>
        <s v="https://palisadesnews.com/michael-milkens-pacific-palisades-estate-goes-on-sale-for-64-million/; https://virtualglobetrotting.com/map/michael-milkens-house-4/view/google/; https://www.forbes.com/sites/trulia/2014/04/04/las-super-mansion-fleur-de-lys-sells"/>
        <s v="https://www.finance-monthly.com/steven-spielbergs-net-worth-9-5-billion-in-2025/"/>
        <s v="https://www.homes.com/property/75-oakmont-dr-los-angeles-ca/tcbdp4fxzjekc/"/>
        <s v="https://www.homes.com/property/376-mountain-home-rd-woodside-ca/p6sh3hp6plvk6/"/>
        <s v="https://www.celebritynetworth.com/richest-businessmen/richest-billionaires/rick-caruso-net-worth/"/>
        <s v="https://www.celebritynetworth.com/richest-businessmen/richest-billionaires/ken-xie-net-worth/; https://blockshopper.com/ca/san-mateo-county/atherton/property/070120060/9-tuscaloosa-avenue"/>
        <s v="https://www.homes.com/property/19384-chablis-ct-saratoga-ca/e3n5y70n6ed3h/; https://www.homes.com/property/190-n-lafayette-st-tracy-ca/x6xzt2lw9j9cx/"/>
        <s v="https://www.zillow.com/homedetails/18988-Smith-Rd-Redding-CA-96002/15212777_zpid/"/>
        <s v="https://www.homes.com/property/26170-w-fremont-rd-los-altos-hills-ca/b1fflmh2yhezd/"/>
        <s v="https://blockshopper.com/ca/san-francisco-county/san-francisco/property/0958030/2870-broadway-street; https://www.redfin.com/CA/San-Francisco/2870-Broadway-St-94115/home/1811887#property-details"/>
        <s v="https://www.ocregister.com/2016/02/04/oceanfront-laguna-beach-estate-twin-points-sells-for-record-shattering-45-million/; https://virtualglobetrotting.com/map/patrick-soon-shiongs-house-2/view/google/; https://www.ocbj.com/special-report/ocs-wealthiest-20"/>
        <s v="https://www.homes.com/property/9491-sunset-blvd-beverly-hills-ca/sw2h7klpb942m/"/>
        <s v="https://robbreport.com/shelter/celebrity-homes/lists/george-lucas-property-portfolio-1237348814/; https://www.sfgate.com/realestate/article/George-Lucas-Carpinteria-houses-owned-property-14885154.php; https://www.marinij.com/2023/07/29/george-lucas-sues-t"/>
        <s v="https://www.celebritynetworth.com/richest-businessmen/ceos/reed-hastings-net-worth/"/>
        <s v="https://www.yahoo.com/entertainment/twitter-ceo-jack-dorsey-scoops-011751538.html; https://www.yahoo.com/entertainment/jack-dorsey-hollywood-hills-hideaway-015224916.html"/>
        <s v="https://www.homes.com/property/34-maple-st-san-francisco-ca/83sknmj9zbck7/; https://www.compass.com/homedetails/1710-Cabernet-Ln-St-Helena-CA-94574/7885975409678385_lid/; https://www.compass.com/homedetails/12-Upper-Ames-Ave-Ross-CA-94957/1018950796530693"/>
        <s v="https://www.homes.com/property/2324-pacific-ave-san-francisco-ca/qpzresp8fbygw/"/>
        <s v="https://www.homes.com/property/429-elizabeth-st-san-francisco-ca/xpxfwnhw0x4kw/"/>
        <s v="https://www.homes.com/property/27161-w-fremont-rd-los-altos-hills-ca/yneqges0z8j44/; https://www.homes.com/property/1218-portola-rd-pebble-beach-ca/pyl3bhymmvf5d/"/>
        <s v="https://www.forbes.com/sites/forbeswealthteam/2023/08/26/when-10-homes-isnt-enough-which-billionaires-own-the-most-properties-larry-ellison-jeff-bezos-oprah-winfrey/"/>
        <s v="https://kanebridgenews.com/one-of-americas-biggest-homes-hits-the-market-for-195-million/"/>
        <s v="https://www.homes.com/property/808-n-beverly-dr-beverly-hills-ca/lgnr8czbm0szq/; https://www.realtytoday.com/articles/36434/20150918/former-la-clipper-owner-donald-sterling-buys-beverly-hills-home-for-18m.htm"/>
        <s v="https://palisadesnews.com/private-equity-billionaire-jose-e-feliciano-buys-50-palisades-million-mansion-narrowly-avoids-new-mansion-tax/"/>
        <s v="https://www.latimes.com/business/real-estate/story/2020-08-10/quibi-chief-meg-whitman-lists-west-hollywood-condo-for-6-5-million"/>
        <s v="https://www.homes.com/property/915-cima-del-mundo-rd-montecito-ca/l92ldh44hh09p/"/>
        <s v="https://www.zillow.com/homedetails/1285-Padre-Lane-Pebble-Beach-CA-93953/2091680232_zpid/; https://www.mpwmd.net/wp-content/uploads/Permits-75.pdf"/>
        <s v="https://www.homes.com/property/770-napoli-dr-pacific-palisades-ca/dsbdlqps3szf0/"/>
        <s v="https://finance.yahoo.com/news/snapchat-billionaire-bobby-murphy-drops-012820960.html"/>
        <s v="https://robbreport.com/shelter/celebrity-homes/lists/kim-kardashian-property-portfolio-1236959466/hidden-hills/"/>
        <s v="https://www.homes.com/property/31202-broad-beach-rd-malibu-ca/x1csdg59ekw4n/; https://www.homes.com/property/1636-mandeville-canyon-rd-los-angeles-ca/yf9qrd0bbjh02/; https://www.homes.com/property/1630-mandeville-canyon-rd-los-angeles-ca/ny184045tmmgt/"/>
        <s v="https://www.homes.com/property/144-monte-carlo-dr-laguna-beach-ca/xg2w65bmqx27x/"/>
        <s v="https://www.homes.com/property/5225-maacama-ridge-rd-healdsburg-ca/zltnlmerk7sjv/"/>
        <s v="https://www.homes.com/property/1162-tower-rd-beverly-hills-ca/qnh4f481ptw1y/"/>
        <s v="https://www.homes.com/property/33-16th-st-hermosa-beach-ca/01q976qwnm5z2/"/>
        <s v="https://www.homes.com/property/25857-westwind-way-los-altos-hills-ca/v5xlh1z2ch94t/; https://www.re-thinkingthefuture.com/architectural-facts/a8184-sundar-pichai-house-10-facts-through-architects-lens/; https://losaltoshills.granicus.com/MetaViewer.php?vi"/>
        <s v="https://www.homes.com/property/20-crystal-dr-crystal-bay-nv/h43f6rey97jbe/"/>
        <s v="https://www.homes.com/property/12-beverly-park-beverly-hills-ca/e5yt4yzd0p2bz/; https://www.homes.com/property/74-ritz-cove-dr-dana-point-ca/3ydn7gf1pjgmn/; https://www.homes.com/property/5309-delta-river-dr-lansing-mi/r6j7x5t79r0e6/"/>
        <s v="https://www.homes.com/property/27900-black-mountain-rd-los-altos-hills-ca/scgqmgwh8hdgw/"/>
        <s v="https://www.ptreyeslight.com/news/bolinas-man-sues-state-over-seawall/#:~:text=of%20the%20beach.%E2%80%9D-,Mr.,would%20be%20funded%20by%20AMJT. ; https://www.zillow.com/homedetails/100-Brighton-Ave-Bolinas-CA-94924/19306502_zpid/"/>
        <s v="https://www.realtor.com/news/celebrity-real-estate/lucy-guo-billionaire-mansion-los-angeles-net-worth/; https://www.wsj.com/real-estate/luxury-homes/billionaire-ai-co-founder-lucy-guo-pays-nearly-30-million-for-l-a-spec-house-9da5120f; https://www.homes.c"/>
        <s v="https://southsfbaynews.com/home-sales-in-santa-clara-county-in-week-ending-feb-10/"/>
        <s v="https://www.homes.com/property/2793-glorietta-cir-santa-clara-ca/8fmm2ykrfp59c/ ; https://www.homes.com/property/1475-country-club-dr-los-altos-ca/bvw0ex36demm4/; https://www.homes.com/property/6820-lancaster-rd-dublin-ca/x9wgfh09xcbnn/"/>
        <s v="https://www.sandiegouniontribune.com/2014/09/24/sports-betting-icons-home-sold-for-13m/"/>
        <s v="https://www.homes.com/property/801-woodacres-rd-santa-monica-ca/dq03b039mb926/"/>
        <s v="https://www.homes.com/property/1730-university-ave-palo-alto-ca/m2pgx4ydnzy53/"/>
        <s v="https://www.realtor.com/news/celebrity-real-estate/lebron-james-los-angeles-lakers-home-points-nba/"/>
        <s v="https://www.homes.com/property/11794-ellice-st-malibu-ca/nqj39y76kjbyw/"/>
        <s v="https://andreaselsenhans.com/norman-lear-finds-buyer-for-longtime-los-angeles-estate/; https://www.homes.com/property/458-toyopa-dr-pacific-palisades-ca/xgvvj3d6g655r/#:~:text=Current%20Estimated%20Value"/>
        <s v="https://www.homes.com/property/12989-chalon-rd-los-angeles-ca/vzh93nfhkznsx/; https://www.homes.com/property/119-lake-creek-meadow-rd-ketchum-id/y0wr9vk9wwveg/; https://www.hellomagazine.com/homes/840524/arnold-schwarzenegger-los-angeles-idaho-homes/; htt"/>
        <s v="https://www.homes.com/property/50-blue-heron-irvine-ca/mq2wf6e3eegw4/ ; https://www.homes.com/property/1-point-catalina-laguna-niguel-ca/pc40eegh58b99/; https://www.homes.com/property/35-brindisi-laguna-niguel-ca/lqqm8n7q7m20z/"/>
        <s v="https://www.homes.com/property/2980-california-st-san-francisco-ca/6wj2vym2ztd2b/"/>
      </sharedItems>
    </cacheField>
    <cacheField name="Notes" numFmtId="0">
      <sharedItems containsBlank="1">
        <s v="Page's primary residence is now a Florida mansion."/>
        <s v="Sold property in late 2025."/>
        <m/>
        <s v="Zuckerberg's compund consists of 11 different properties ranging from $5 million to $15 million."/>
        <s v="Huang also has a $38 million San Francisco Mansion."/>
        <s v="Schmidt also bought a $30.8 million estate in Montecito in 2020."/>
        <s v="Samueli only seems to have one residence."/>
        <s v="Pera's primary residence is in San Jose, but no sources confirm its value. One of Pera's other residences is a $21.5 million NYC penthouse."/>
        <s v="Homes.com shows Foroughi sold his Truckee home in 2021: https://www.homes.com/property/2413-newhall-ct-truckee-ca/1egj3t32qvw4h/"/>
        <s v="Koum's $187 million compound consists of two houses."/>
        <s v="Ressler's various LA properties are estimated to be worth over $100,000,000."/>
        <s v="Estimated value on homes.com is $6,290,000 - $17,100,579, owned by Ltn Trust and Khosla, likely owned by Vinod Khosla secondary source: https://virtualglobetrotting.com/map/vinod-khoslas-house/view/google/"/>
        <s v="Moskovitz' primary residence is an $800,000 San Francisco condo."/>
        <s v="Confirmed to be moving, not clear if due to CA Wealth Tax"/>
        <s v="Estimated value on homes.com is $6,882,000 - $19,119,746 "/>
        <s v="Estimated value on homes.com is $5,573,000 $8,683,775"/>
        <s v="Estimated value on homes.com is $6,522,000 - $8,107,000."/>
        <s v="Spielberg's property is estimated to be between $100 million and $250 million. "/>
        <s v="Owned by Broad Revocable Trust: Estimated value on homes.com is $7,420,000 - $13,283,376"/>
        <s v="Estimated value on homes.com is 6,309,000-15,830,193"/>
        <s v="Estimated value on homes.com is $916,859 - $1,131,000"/>
        <s v="Caruso's primary estate is estimated to be worth $60-80 million."/>
        <s v="Estimated values on homes.com is $803,000 - $877,000 and $6,190,389 - $6,985,000."/>
        <s v="Used this source to find initial address: https://virtualglobetrotting.com/map/red-emmersons-house/view/google/ , then confirmed with deed lookup: https://recorderselfservice.shastacounty.gov/web/document/DOCCOR-2501886?search=DOCSEARCH344S5"/>
        <s v="Estimated value on homes.com is $9,313,000 - $13,169,940"/>
        <s v="Estimated value on redfin.com is $29,608,760."/>
        <s v="Main estate consists of 7 properties combined for $30 million dollars according to celebritynetworth.com"/>
        <s v="Estimated value on homes.com is $8,902,000 - $17,115,689."/>
        <s v="Lucas also owns &quot;Skywalker Ranch&quot;, but this is not a residential property and is instead used for business."/>
        <s v="Hastings also owns property in Hollywood. "/>
        <s v="Compound consists of two residences, one bought in 2012 for $10 million and one bought in 2019 for $21.9 million. His Hollywood Hills residence was later sold."/>
        <s v="Estimated value on homes.com is $7,527,000 - $22,222,762."/>
        <s v="Estimated value on homes.com is $6,849,000."/>
        <s v="Estimated value on homes.com is $2,842,000 - $5,884,000."/>
        <s v="Estimated value on homes.com is $8,136,000 - $13,269,963"/>
        <s v="Estimated value on homes.com is $5,631,000 - $7,809,894."/>
        <s v="Estimated value on homes.com is $5,584,000 - $11,443,465."/>
        <s v="Siebel potentially owns this Lake Tahoe estate, but not confirmed: https://www.sacbee.com/news/business/real-estate-news/article141950429.html"/>
        <s v="While listed for sale, Whitman still seems to have not sold the residence yet."/>
        <s v="Estimated value on homes.com is $1,887,000 - $2,072,000"/>
        <s v="Fisher owns other residential property besides his $29.25 million Las Vegas home, but there are no reports indicating valuations of these properties."/>
        <s v="Estimated value on homes.com is $2,230,000 - $2,572,000"/>
        <s v="Estimated value on homes.com is $2,317,000 - $4,831,145"/>
        <s v="Estimated value on homes.com is $4,142,000 - $12,982,483."/>
        <s v="Estimated value on homes.com is $9,271,000 - $13,784,748."/>
        <s v="Acton's compound consists of 7 Palo Alto houses."/>
        <s v="Unclear if Luckey is moving, but he is a vocal critic of tax."/>
        <s v="Public nonprofit filings (IRS Form 990-PF) indicate that Frank and his wife Brenda Slootman have been associated with the address 3001 West Ruby Hill Drive, Pleasanton, CA 94566 on multiple filings."/>
        <s v="Article and public records indicate a combined-lot rebuild valued at approximately $27–$42 million"/>
        <s v="Estimated value on homes.com is $7,848,000 - $15,563,106, Chisholm also owns a home in Nantucket, MA"/>
        <s v="Winfrey has several other California real estate holdings, totaling around $100,000,000."/>
        <s v="Estimated value on homes.com is $6,578,000 - $12,072,842."/>
        <s v="Pritzker sold Marin county home to Gavin Newsom in 2024 worth $9M: https://sfstandard.com/2024/11/15/gavin-newsom-buys-marin-mansion/"/>
        <s v="Estimated value on homes.com for LA home is $6,169,000 - $11,761,216 and Montecito home is 5,382,000"/>
        <s v="Yahoo notes Green bought $12m Malibu estate, but still owns Thousand Oaks home possibly: https://www.homes.com/property/5592-via-bonita-newbury-park-ca/7bmrl59d17vfr/"/>
        <s v="Cook's La Quinta residence was bought for $10 million. He also has a palo alto residence of undisclosed value."/>
        <s v="Estimated value on homes.com is $9,918,000 (no range) owned since 2013. "/>
        <s v="Estimated value on homes.com is $9,134,000 - $11,668,997"/>
        <s v="Reid Hoffman on California wealth tax: https://finance.yahoo.com/news/reid-hoffman-calls-californias-proposed-230843856.html"/>
        <s v="Estimated value on homes.com is $8,042,000 - $13,339,311"/>
        <s v="Estimated value on homes.com is $5,433,000 - $8,683,316"/>
        <s v="Estimated value on homes.com is $7,962,000 - $9,411,000"/>
        <s v="Most likely Egon Durban’s personal residence, purchased via an LLC for privacy, found second home in Pebble Beach through water permit records. https://www.mpwmd.net/wp-content/uploads/Permits-75.pdf "/>
        <s v="Sold San Francisco home in 2019: https://www.realtor.com/news/celebrity-real-estate/max-levchin-selling-san-francisco-home/"/>
        <s v="Estimated value on homes.com is $4,849,037 - $5,328,000. Address found through US phone book: https://www.usphonebook.com/brendan-foody/UzQzNxYzMwIjNwADNyYjN0kjM40yR"/>
        <s v="Estimated value on homes.com is $3,016,000 - $3,526,000. Address found through US phone book: https://www.usphonebook.com/address/1396-bittern-dr_sunnyvale-ca"/>
        <s v="Estimated value on homes.com is $6,300,000 - $12,482,485"/>
        <s v="Estimated value on homes.com is $4,126,000 - $5,512,000."/>
        <s v="Estimated value on homes.com is $4,895,000 - $7,322,885."/>
        <s v="Estimated value on homes.com is $5,594,000 - $15,315,861, also owns a Boston home"/>
        <s v="Article notes permits were approved for Tom Steyer's trust to build $4 million house on Sea Cliff Avenue in 2025. Also had Pacific Heights home sold for $11 million in 2020. "/>
        <s v="Yahoo article states Murphy owns about 9 properties, listing 6 in the article"/>
        <s v="Estimated value on homes.com is $9,431,000 - $14,281,449"/>
        <s v="Home has been listed for sale by Valani since September 2025, but has not yet been sold."/>
        <s v="Kardashian owns other California residences, but the hidden hills mansion is her primary residence.; the most recent &quot;report&quot; claims that Kardashian has a $115 million property portfolio"/>
        <s v="House 1: Estimated Value: $6,272,000 - $16,505,106; House 2: Estimated Value: $3,690,000 - $4,553,000; House 3: Estimated Value: $8,347,000. Reference for Trust Fund: https://www.sec.gov/Archives/edgar/data/1805385/000110465922112066/tm2223539-1_posam.htm"/>
        <s v="Estimated value on homes.com is 7,167,000 (no range). Home purchased Jan 2008."/>
        <s v="Gross owns another Laguna mansion worth $32,000,000."/>
        <s v="News inform thta she has a Palm Desert house, but I couldn't find it"/>
        <s v="Estimated Value: $10,961,462, sold other home in SF for 7,983,000 in Oct 2025: https://www.homes.com/property/2635-lyon-st-san-francisco-ca/ebwpp90x0hj1y/"/>
        <s v="Estimated value on homes.com is $5,901,000 - $15,398,401; the refrence confirming the ownership: https://sfyimby.com/2025/03/preliminary-plans-for-billionaire-owned-home-in-presidio-heights-san-francisco.html"/>
        <s v="Estimated value on homes.com is $7,724,000 - $15,713,764."/>
        <s v="Estimated Value: $5,358,936 - $6,016,000"/>
        <s v="Estimated Value: $5,400,000 - $8,195,833"/>
        <s v="Estimated value of Carmichael home is $885,000 - $3,654,299, Nevada home estimated value is $6,190,000 - $27,463,868 (sold for $24,850,000 in 2020 to Teel)"/>
        <s v="House 1 : Estimated value on homes.com is $7,196,000; Hosue 2: $4,549,000 - $11,210,364; House 3: Estimated Value: $684,000 - $1,014,374"/>
        <s v="Estimated Value: $6,707,000 - $7,271,292"/>
        <s v=" Pincus also bought a $4 million Bolinas, CA, mansion in 2009. Pincus kept the Bolinas house, 100 Brighton Ave, Bolinas, according to a 2022 report. Mark Pincus sold the 2.85 house (https://www.nbcbayarea.com/news/local/zyngas-mark-pincus-sells-his-san-fr"/>
        <s v="Homes.com discloses the selling price as $29,500,000; however on their website the owner is  &quot;1680 N Doheny Drive Llc&quot;"/>
        <s v="Sold Atherton home for $18.8M in 2017: https://www.realtor.com/news/celebrity-real-estate/nikesh-arora-selling-atherton-mansion/"/>
        <s v="Estimated value on homes.com is $2,491,046 - $2,648,000."/>
        <s v="Buyer: AKKASALAMAKKI GAJENDRA SANJAY TRUSTEE NAYAK ROOPA TRUSTEE"/>
        <s v="House 1 Estimated value on homes.com is $2,686,785 - $3,006,000; House 2 Estimated Value $8,001,000 - $10,133,965; House 3 Estimated Value: $1,099,000 - $1,495,000"/>
        <s v="Estimated value of Santa Monica home is $6,209,000 - $16,047,864"/>
        <s v="Estimated Value: $5,797,058 - $6,797,000"/>
        <s v="Estimated Value of Chatsworth home: $4,304,000 - $5,413,302, estimated value of second home in Malibu: $4,281,000 - $16,223,767"/>
        <s v="House 1: 27 mi; House 2: Estimated Value: $5,919,000 - $15,376,212; TrustFund reference: https://www.sec.gov/Archives/edgar/data/1723648/000089924321025264/xslF345X03/doc4.xml"/>
        <s v="Home 1: Estimated value on homes.com is $5,299,000; Home 2 (Idaho): Estimated Value: $5,588,000"/>
        <s v="Estimated value on homes.com is $6,511,000 - $13,122,419."/>
        <s v="Home 1: Estimated value on homes.com is $9,071,000 - $13,476,701; Home 2: Estimated value on homes.com is $7,733,000 - $10,754,000; Home 3: Estimated value on homes.com is $2,111,901 - $3,860,000"/>
        <s v="Estimated value on homes.com is $5,319,000 - $6,317,072"/>
      </sharedItems>
    </cacheField>
    <cacheField name="Moving Source" numFmtId="0">
      <sharedItems containsBlank="1">
        <s v="https://www.businessinsider.com/larry-page-leave-california-wealth-billionaire-tax-koop-google-2026-1"/>
        <s v="https://www.sfchronicle.com/california/article/larry-page-larry-ellison-california-wealth-tax-21281843.php"/>
        <s v="https://www.aol.com/news/google-cofounders-sergey-brin-larry-195211174.html"/>
        <m/>
        <s v="https://uk.finance.yahoo.com/news/nvidia-jensen-huang-perfectly-fine-170800688.html"/>
        <s v="https://www.forbes.com/sites/tylerroush/2025/12/27/possible-california-wealth-tax-causes-billionaire-freakout-page-thiel-threaten-to-leave/"/>
        <s v="https://nypost.com/2026/01/08/real-estate/tech-titans-leaving-california-for-florida-over-billionaire-tax/"/>
        <s v="https://www.washingtonpost.com/technology/2026/01/19/california-wealth-tax-exodus/"/>
        <s v="https://apnews.com/article/innout-ceo-moving-af175b4926847325970b5bcba52276fe"/>
        <s v="https://www.forbes.com/sites/chasewithorn/2026/01/15/los-angeles-billionaire-moves-to-nevada-after-california-threatens-to-tax-wealth/"/>
        <s v="https://www.bloomberg.com/news/articles/2026-01-08/california-wealth-tax-threat-pushes-billionaires-to-texas-florida"/>
        <s v="https://www.foxbusiness.com/politics/tech-billionaires-threaten-flee-california-over-proposed-5-wealth-tax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scriptive_Statistics" cacheId="0" dataCaption="" compact="0" compactData="0">
  <location ref="A1:B52" firstHeaderRow="0" firstDataRow="1" firstDataCol="0"/>
  <pivotFields>
    <pivotField name="Rank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Net wo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Net Worth Expande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Residence" axis="axisRow" dataField="1" compact="0" outline="0" multipleItemSelectionAllowed="1" showAll="0" sortType="ascending">
      <items>
        <item x="16"/>
        <item x="11"/>
        <item x="36"/>
        <item x="8"/>
        <item x="29"/>
        <item x="38"/>
        <item x="39"/>
        <item x="17"/>
        <item x="42"/>
        <item x="40"/>
        <item x="10"/>
        <item x="30"/>
        <item x="2"/>
        <item x="21"/>
        <item x="3"/>
        <item x="19"/>
        <item x="35"/>
        <item x="33"/>
        <item x="43"/>
        <item x="34"/>
        <item x="15"/>
        <item x="37"/>
        <item x="4"/>
        <item x="7"/>
        <item x="44"/>
        <item x="20"/>
        <item x="32"/>
        <item x="0"/>
        <item x="31"/>
        <item x="14"/>
        <item x="28"/>
        <item x="23"/>
        <item x="13"/>
        <item x="9"/>
        <item x="47"/>
        <item x="25"/>
        <item x="45"/>
        <item x="24"/>
        <item x="12"/>
        <item x="5"/>
        <item x="48"/>
        <item x="18"/>
        <item x="27"/>
        <item x="26"/>
        <item x="49"/>
        <item x="22"/>
        <item x="46"/>
        <item x="6"/>
        <item x="41"/>
        <item x="1"/>
        <item t="default"/>
      </items>
    </pivotField>
    <pivotField name="Moving? (Y/N)" compact="0" outline="0" multipleItemSelectionAllowed="1" showAll="0">
      <items>
        <item x="0"/>
        <item x="1"/>
        <item x="2"/>
        <item t="default"/>
      </items>
    </pivotField>
    <pivotField name="House Pri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House Price 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House Price (Assessed)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otal Residential Real E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TRRE Price (Assessed) Year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RE 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oving 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</pivotFields>
  <rowFields>
    <field x="4"/>
  </rowFields>
  <dataFields>
    <dataField name="COUNTA of Residence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rbansplatter.com/2022/05/brian-armstrong-house-the-los-angeles-mansion/" TargetMode="External"/><Relationship Id="rId190" Type="http://schemas.openxmlformats.org/officeDocument/2006/relationships/hyperlink" Target="https://www.homes.com/property/626-n-arden-dr-beverly-hills-ca/rvkrdgh787ske/" TargetMode="External"/><Relationship Id="rId42" Type="http://schemas.openxmlformats.org/officeDocument/2006/relationships/hyperlink" Target="https://www.washingtonpost.com/technology/2026/01/19/california-wealth-tax-exodus/" TargetMode="External"/><Relationship Id="rId41" Type="http://schemas.openxmlformats.org/officeDocument/2006/relationships/hyperlink" Target="https://therealdeal.com/la/2016/10/24/platinum-equity-ceo-buys-holmby-hills-spec-home-for-100m/" TargetMode="External"/><Relationship Id="rId44" Type="http://schemas.openxmlformats.org/officeDocument/2006/relationships/hyperlink" Target="https://finance.yahoo.com/news/david-geffen-completes-68-million-192458970.html" TargetMode="External"/><Relationship Id="rId194" Type="http://schemas.openxmlformats.org/officeDocument/2006/relationships/hyperlink" Target="https://robbreport.com/shelter/celebrity-homes/lists/kim-kardashian-property-portfolio-1236959466/hidden-hills/" TargetMode="External"/><Relationship Id="rId43" Type="http://schemas.openxmlformats.org/officeDocument/2006/relationships/hyperlink" Target="https://www.yahoo.com/entertainment/twitter-ceo-jack-dorsey-scoops-011751538.html" TargetMode="External"/><Relationship Id="rId193" Type="http://schemas.openxmlformats.org/officeDocument/2006/relationships/hyperlink" Target="https://www.realtor.com/news/celebrity-real-estate/kim-kardashian-buys-hidden-hills-home-kanye-west/" TargetMode="External"/><Relationship Id="rId46" Type="http://schemas.openxmlformats.org/officeDocument/2006/relationships/hyperlink" Target="https://apnews.com/article/innout-ceo-moving-af175b4926847325970b5bcba52276fe" TargetMode="External"/><Relationship Id="rId192" Type="http://schemas.openxmlformats.org/officeDocument/2006/relationships/hyperlink" Target="https://www.celebritynetworth.com/articles/celebrity-homes/marc-andreessen-just-paid-177-million-for-a-seven-acre-malibu-estate-the-second-most-expensive-home-sold-in-us-history/" TargetMode="External"/><Relationship Id="rId45" Type="http://schemas.openxmlformats.org/officeDocument/2006/relationships/hyperlink" Target="https://www.inman.com/2020/06/11/entertainment-mogul-david-geffen-buys-la-luxury-estate-for-68m/" TargetMode="External"/><Relationship Id="rId191" Type="http://schemas.openxmlformats.org/officeDocument/2006/relationships/hyperlink" Target="https://www.wsj.com/real-estate/luxury-homes/johnny-carsons-longtime-malibu-home-lists-for-110-million-a9331324" TargetMode="External"/><Relationship Id="rId48" Type="http://schemas.openxmlformats.org/officeDocument/2006/relationships/hyperlink" Target="http://homes.com/" TargetMode="External"/><Relationship Id="rId187" Type="http://schemas.openxmlformats.org/officeDocument/2006/relationships/hyperlink" Target="https://finance.yahoo.com/news/snapchat-billionaire-bobby-murphy-drops-012820960.html" TargetMode="External"/><Relationship Id="rId47" Type="http://schemas.openxmlformats.org/officeDocument/2006/relationships/hyperlink" Target="https://www.homes.com/property/27450-pacific-coast-hwy-malibu-ca/gt8keb94hyyzn/" TargetMode="External"/><Relationship Id="rId186" Type="http://schemas.openxmlformats.org/officeDocument/2006/relationships/hyperlink" Target="https://www.sfchronicle.com/realestate/article/tom-steyer-sea-cliff-mansion-20036753.php" TargetMode="External"/><Relationship Id="rId185" Type="http://schemas.openxmlformats.org/officeDocument/2006/relationships/hyperlink" Target="http://homes.com/" TargetMode="External"/><Relationship Id="rId49" Type="http://schemas.openxmlformats.org/officeDocument/2006/relationships/hyperlink" Target="https://www.forbes.com/sites/chasewithorn/2026/01/15/los-angeles-billionaire-moves-to-nevada-after-california-threatens-to-tax-wealth/" TargetMode="External"/><Relationship Id="rId184" Type="http://schemas.openxmlformats.org/officeDocument/2006/relationships/hyperlink" Target="https://www.homes.com/property/770-napoli-dr-pacific-palisades-ca/dsbdlqps3szf0/" TargetMode="External"/><Relationship Id="rId189" Type="http://schemas.openxmlformats.org/officeDocument/2006/relationships/hyperlink" Target="https://www.forbes.com/sites/brianbushard/2024/07/17/billionaire-sam-altman-claims-27-million-san-francisco-mansion-is-a-lemon/" TargetMode="External"/><Relationship Id="rId188" Type="http://schemas.openxmlformats.org/officeDocument/2006/relationships/hyperlink" Target="https://finance.yahoo.com/news/snapchat-billionaire-bobby-murphy-drops-012820960.html" TargetMode="External"/><Relationship Id="rId31" Type="http://schemas.openxmlformats.org/officeDocument/2006/relationships/hyperlink" Target="http://homes.com/" TargetMode="External"/><Relationship Id="rId30" Type="http://schemas.openxmlformats.org/officeDocument/2006/relationships/hyperlink" Target="https://www.homes.com/property/630-los-trancos-rd-portola-valley-ca/lsj62j03bbdml/" TargetMode="External"/><Relationship Id="rId33" Type="http://schemas.openxmlformats.org/officeDocument/2006/relationships/hyperlink" Target="https://www.yahoo.com/entertainment/billionaire-riley-bechtel-pays-record-201404351.html" TargetMode="External"/><Relationship Id="rId183" Type="http://schemas.openxmlformats.org/officeDocument/2006/relationships/hyperlink" Target="https://www.homes.com/property/770-napoli-dr-pacific-palisades-ca/dsbdlqps3szf0/" TargetMode="External"/><Relationship Id="rId32" Type="http://schemas.openxmlformats.org/officeDocument/2006/relationships/hyperlink" Target="https://www.yahoo.com/entertainment/billionaire-riley-bechtel-pays-record-201404351.html" TargetMode="External"/><Relationship Id="rId182" Type="http://schemas.openxmlformats.org/officeDocument/2006/relationships/hyperlink" Target="http://homes.com/" TargetMode="External"/><Relationship Id="rId35" Type="http://schemas.openxmlformats.org/officeDocument/2006/relationships/hyperlink" Target="https://www.celebritynetworth.com/richest-businessmen/richest-billionaires/douglas-leone-net-worth/" TargetMode="External"/><Relationship Id="rId181" Type="http://schemas.openxmlformats.org/officeDocument/2006/relationships/hyperlink" Target="https://www.homes.com/property/40-minoca-rd-portola-valley-ca/7q7r3jf36ed8k/" TargetMode="External"/><Relationship Id="rId34" Type="http://schemas.openxmlformats.org/officeDocument/2006/relationships/hyperlink" Target="https://www.seattletimes.com/business/young-tech-millionaires-keeping-1-bedroom-lifestyle/" TargetMode="External"/><Relationship Id="rId180" Type="http://schemas.openxmlformats.org/officeDocument/2006/relationships/hyperlink" Target="https://eliteagent.com/jennifer-lopez-takes-a-price-cut-on-bel-air-home/" TargetMode="External"/><Relationship Id="rId37" Type="http://schemas.openxmlformats.org/officeDocument/2006/relationships/hyperlink" Target="https://sfstandard.com/2025/09/09/chris-larsen-napa-home/" TargetMode="External"/><Relationship Id="rId176" Type="http://schemas.openxmlformats.org/officeDocument/2006/relationships/hyperlink" Target="https://www.homes.com/property/2121-webster-st-san-francisco-ca-unit-ph3/0sh6ewt66bwhf/" TargetMode="External"/><Relationship Id="rId36" Type="http://schemas.openxmlformats.org/officeDocument/2006/relationships/hyperlink" Target="https://www.celebritynetworth.com/richest-businessmen/richest-billionaires/douglas-leone-net-worth/" TargetMode="External"/><Relationship Id="rId175" Type="http://schemas.openxmlformats.org/officeDocument/2006/relationships/hyperlink" Target="https://www.homes.com/property/24348-malibu-rd-malibu-ca/epljv02w6jfqm/" TargetMode="External"/><Relationship Id="rId39" Type="http://schemas.openxmlformats.org/officeDocument/2006/relationships/hyperlink" Target="https://www.urbansplatter.com/2022/05/brian-armstrong-house-the-los-angeles-mansion/" TargetMode="External"/><Relationship Id="rId174" Type="http://schemas.openxmlformats.org/officeDocument/2006/relationships/hyperlink" Target="http://homes.com/" TargetMode="External"/><Relationship Id="rId38" Type="http://schemas.openxmlformats.org/officeDocument/2006/relationships/hyperlink" Target="https://docs.google.com/spreadsheets/d/1-d_IAr8tITUy_s8QmIzH-FLYoODzaBxNMWShu9W7IFk/edit?gid=1121030019" TargetMode="External"/><Relationship Id="rId173" Type="http://schemas.openxmlformats.org/officeDocument/2006/relationships/hyperlink" Target="https://www.homes.com/property/1396-bittern-dr-sunnyvale-ca/dnswy5ynqxtf1/" TargetMode="External"/><Relationship Id="rId179" Type="http://schemas.openxmlformats.org/officeDocument/2006/relationships/hyperlink" Target="https://www.celebritynetworth.com/richest-businessmen/ceos/alec-gores/" TargetMode="External"/><Relationship Id="rId178" Type="http://schemas.openxmlformats.org/officeDocument/2006/relationships/hyperlink" Target="https://www.forbes.com/sites/emmareynolds/2022/03/09/fashion-nova-ceo-richard-saghian-buys-the-one-megamansion-for-141-million/" TargetMode="External"/><Relationship Id="rId177" Type="http://schemas.openxmlformats.org/officeDocument/2006/relationships/hyperlink" Target="http://homes.com/" TargetMode="External"/><Relationship Id="rId20" Type="http://schemas.openxmlformats.org/officeDocument/2006/relationships/hyperlink" Target="https://labusinessjournal.com/special-editions/wealthiest-angelenos/wealthiest-2023/10-eric-smidt/" TargetMode="External"/><Relationship Id="rId22" Type="http://schemas.openxmlformats.org/officeDocument/2006/relationships/hyperlink" Target="https://www.celebritynetworth.com/articles/celebrity-homes/two-years-after-paying-100-million-for-a-malibu-mansion-whatsapp-founder-buys-the-house-next-door-for-87-million/" TargetMode="External"/><Relationship Id="rId21" Type="http://schemas.openxmlformats.org/officeDocument/2006/relationships/hyperlink" Target="https://blockshopper.com/ca/los-angeles-county/rolling-hills/property/7567015025/6-east-crest-road" TargetMode="External"/><Relationship Id="rId24" Type="http://schemas.openxmlformats.org/officeDocument/2006/relationships/hyperlink" Target="https://nypost.com/2026/01/08/real-estate/tech-titans-leaving-california-for-florida-over-billionaire-tax/" TargetMode="External"/><Relationship Id="rId23" Type="http://schemas.openxmlformats.org/officeDocument/2006/relationships/hyperlink" Target="https://www.celebritynetworth.com/articles/billionaire-news/jan-koum-grew-up-on-food-stamps-and-now-owns-more-than-400-million-worth-of-california-real-estate/" TargetMode="External"/><Relationship Id="rId26" Type="http://schemas.openxmlformats.org/officeDocument/2006/relationships/hyperlink" Target="https://fortune.com/2024/07/13/laurene-powell-jobs-buys-mansion-san-francisco-billionaires-row-70-million-record-high/" TargetMode="External"/><Relationship Id="rId25" Type="http://schemas.openxmlformats.org/officeDocument/2006/relationships/hyperlink" Target="https://blockshopper.com/ca/san-mateo-county/atherton/property/070032440/260-atherton-avenue" TargetMode="External"/><Relationship Id="rId28" Type="http://schemas.openxmlformats.org/officeDocument/2006/relationships/hyperlink" Target="https://www.finance-monthly.com/antony-resslers-net-worth-2025-billionaire-financier-sports-owner-and-philanthropist/" TargetMode="External"/><Relationship Id="rId27" Type="http://schemas.openxmlformats.org/officeDocument/2006/relationships/hyperlink" Target="https://www.finance-monthly.com/antony-resslers-net-worth-2025-billionaire-financier-sports-owner-and-philanthropist/" TargetMode="External"/><Relationship Id="rId29" Type="http://schemas.openxmlformats.org/officeDocument/2006/relationships/hyperlink" Target="https://www.homes.com/property/630-los-trancos-rd-portola-valley-ca/lsj62j03bbdml/" TargetMode="External"/><Relationship Id="rId11" Type="http://schemas.openxmlformats.org/officeDocument/2006/relationships/hyperlink" Target="https://robbreport.com/shelter/celebrity-homes/lists/eric-schmidt-property-portfolio-1236832435/" TargetMode="External"/><Relationship Id="rId10" Type="http://schemas.openxmlformats.org/officeDocument/2006/relationships/hyperlink" Target="https://uk.finance.yahoo.com/news/nvidia-jensen-huang-perfectly-fine-170800688.html" TargetMode="External"/><Relationship Id="rId13" Type="http://schemas.openxmlformats.org/officeDocument/2006/relationships/hyperlink" Target="https://www.urbansplatter.com/2024/06/henry-samueli-house-the-california-dwelling/" TargetMode="External"/><Relationship Id="rId12" Type="http://schemas.openxmlformats.org/officeDocument/2006/relationships/hyperlink" Target="https://www.urbansplatter.com/2024/06/henry-samueli-house-the-california-dwelling/" TargetMode="External"/><Relationship Id="rId15" Type="http://schemas.openxmlformats.org/officeDocument/2006/relationships/hyperlink" Target="https://www.forbes.com/sites/tylerroush/2025/12/27/possible-california-wealth-tax-causes-billionaire-freakout-page-thiel-threaten-to-leave/" TargetMode="External"/><Relationship Id="rId198" Type="http://schemas.openxmlformats.org/officeDocument/2006/relationships/hyperlink" Target="http://homes.com/" TargetMode="External"/><Relationship Id="rId14" Type="http://schemas.openxmlformats.org/officeDocument/2006/relationships/hyperlink" Target="https://labusinessjournal.com/technology/billionaire-peter-thiel-moving-los-angeles/" TargetMode="External"/><Relationship Id="rId197" Type="http://schemas.openxmlformats.org/officeDocument/2006/relationships/hyperlink" Target="https://www.homes.com/property/52-beverly-park-way-beverly-hills-ca/rkf4wp6ql0gd7/" TargetMode="External"/><Relationship Id="rId17" Type="http://schemas.openxmlformats.org/officeDocument/2006/relationships/hyperlink" Target="http://homes.com/" TargetMode="External"/><Relationship Id="rId196" Type="http://schemas.openxmlformats.org/officeDocument/2006/relationships/hyperlink" Target="https://brentwoodnewsla.com/billionaire-orthopedic-surgeon-buys-23-9-million-brentwood-mansion/" TargetMode="External"/><Relationship Id="rId16" Type="http://schemas.openxmlformats.org/officeDocument/2006/relationships/hyperlink" Target="https://www.dailymail.co.uk/sport/nba/article-12947653/Memphis-Grizzlies-billionaire-owner-Robert-Pena-Star-Island-arena.html" TargetMode="External"/><Relationship Id="rId195" Type="http://schemas.openxmlformats.org/officeDocument/2006/relationships/hyperlink" Target="https://therealdeal.com/la/2023/07/26/malibu-home-of-milwaukee-brewers-owner-goes-into-contract-for-25m/" TargetMode="External"/><Relationship Id="rId19" Type="http://schemas.openxmlformats.org/officeDocument/2006/relationships/hyperlink" Target="https://hauteliving.com/2010/01/haute-estate-19-8-million-newport-coast-mansion/18762/" TargetMode="External"/><Relationship Id="rId18" Type="http://schemas.openxmlformats.org/officeDocument/2006/relationships/hyperlink" Target="https://hauteliving.com/2010/01/haute-estate-19-8-million-newport-coast-mansion/18762/" TargetMode="External"/><Relationship Id="rId199" Type="http://schemas.openxmlformats.org/officeDocument/2006/relationships/hyperlink" Target="https://www.ocregister.com/2018/07/12/pimco-founder-bill-gross-buys-oceanfront-laguna-beach-home-for-35-8-million/" TargetMode="External"/><Relationship Id="rId84" Type="http://schemas.openxmlformats.org/officeDocument/2006/relationships/hyperlink" Target="http://celebritynetworth.com/" TargetMode="External"/><Relationship Id="rId83" Type="http://schemas.openxmlformats.org/officeDocument/2006/relationships/hyperlink" Target="https://www.celebritynetworth.com/articles/celebrity-homes/patrick-soon-shiongs-house-brentwood-billionaire-doctor-demolished-seven-houses-build-one-insane-mega-property/" TargetMode="External"/><Relationship Id="rId86" Type="http://schemas.openxmlformats.org/officeDocument/2006/relationships/hyperlink" Target="https://www.homes.com/property/9491-sunset-blvd-beverly-hills-ca/sw2h7klpb942m/" TargetMode="External"/><Relationship Id="rId85" Type="http://schemas.openxmlformats.org/officeDocument/2006/relationships/hyperlink" Target="https://www.homes.com/property/9491-sunset-blvd-beverly-hills-ca/sw2h7klpb942m/" TargetMode="External"/><Relationship Id="rId88" Type="http://schemas.openxmlformats.org/officeDocument/2006/relationships/hyperlink" Target="https://www.homes.com/property/9491-sunset-blvd-beverly-hills-ca/sw2h7klpb942m/" TargetMode="External"/><Relationship Id="rId150" Type="http://schemas.openxmlformats.org/officeDocument/2006/relationships/hyperlink" Target="https://www.yahoo.com/lifestyle/tech-billionaire-dropped-12-million-000000451.html" TargetMode="External"/><Relationship Id="rId87" Type="http://schemas.openxmlformats.org/officeDocument/2006/relationships/hyperlink" Target="http://homes.com/" TargetMode="External"/><Relationship Id="rId89" Type="http://schemas.openxmlformats.org/officeDocument/2006/relationships/hyperlink" Target="https://www.homes.com/property/9491-sunset-blvd-beverly-hills-ca/sw2h7klpb942m/" TargetMode="External"/><Relationship Id="rId80" Type="http://schemas.openxmlformats.org/officeDocument/2006/relationships/hyperlink" Target="https://www.homes.com/property/26170-w-fremont-rd-los-altos-hills-ca/b1fflmh2yhezd/" TargetMode="External"/><Relationship Id="rId82" Type="http://schemas.openxmlformats.org/officeDocument/2006/relationships/hyperlink" Target="http://redfin.com/" TargetMode="External"/><Relationship Id="rId81" Type="http://schemas.openxmlformats.org/officeDocument/2006/relationships/hyperlink" Target="http://homes.com/" TargetMode="External"/><Relationship Id="rId1" Type="http://schemas.openxmlformats.org/officeDocument/2006/relationships/hyperlink" Target="https://elmundomiami.com/economy/larry-page-invests-173-4-million-in-the-miami-real-estate-market/" TargetMode="External"/><Relationship Id="rId2" Type="http://schemas.openxmlformats.org/officeDocument/2006/relationships/hyperlink" Target="https://www.businessinsider.com/larry-page-leave-california-wealth-billionaire-tax-koop-google-2026-1" TargetMode="External"/><Relationship Id="rId3" Type="http://schemas.openxmlformats.org/officeDocument/2006/relationships/hyperlink" Target="https://sfstandard.com/2026/01/05/larry-ellison-san-francisco-home-sale/" TargetMode="External"/><Relationship Id="rId149" Type="http://schemas.openxmlformats.org/officeDocument/2006/relationships/hyperlink" Target="http://homes.com/" TargetMode="External"/><Relationship Id="rId4" Type="http://schemas.openxmlformats.org/officeDocument/2006/relationships/hyperlink" Target="https://www.sfchronicle.com/california/article/larry-page-larry-ellison-california-wealth-tax-21281843.php" TargetMode="External"/><Relationship Id="rId148" Type="http://schemas.openxmlformats.org/officeDocument/2006/relationships/hyperlink" Target="https://www.homes.com/property/915-cima-del-mundo-rd-montecito-ca/l92ldh44hh09p/" TargetMode="External"/><Relationship Id="rId9" Type="http://schemas.openxmlformats.org/officeDocument/2006/relationships/hyperlink" Target="https://www.foxbusiness.com/lifestyle/nvidias-ceo-extensive-rich-real-estate-portfolio" TargetMode="External"/><Relationship Id="rId143" Type="http://schemas.openxmlformats.org/officeDocument/2006/relationships/hyperlink" Target="https://www.celebritynetworth.com/articles/celebrity-homes/homeless-billionaire-nicolas-berggruen-is-no-longer-homeless-with-63-million-hearst-estate-purchase/" TargetMode="External"/><Relationship Id="rId142" Type="http://schemas.openxmlformats.org/officeDocument/2006/relationships/hyperlink" Target="https://www.latimes.com/business/realestate/hot-property/la-fi-hotprop-ellen-degeneres-20140707-story.html" TargetMode="External"/><Relationship Id="rId141" Type="http://schemas.openxmlformats.org/officeDocument/2006/relationships/hyperlink" Target="https://www.realtor.com/news/celebrity-real-estate/oprah-winfrey-kamala-harris-homes/" TargetMode="External"/><Relationship Id="rId140" Type="http://schemas.openxmlformats.org/officeDocument/2006/relationships/hyperlink" Target="https://www.homes.com/property/36-ralston-rd-atherton-ca/0b3qvgxhehbf0/" TargetMode="External"/><Relationship Id="rId5" Type="http://schemas.openxmlformats.org/officeDocument/2006/relationships/hyperlink" Target="https://www.aol.com/news/google-cofounders-sergey-brin-larry-195211174.html" TargetMode="External"/><Relationship Id="rId147" Type="http://schemas.openxmlformats.org/officeDocument/2006/relationships/hyperlink" Target="https://www.homes.com/property/365-s-hudson-ave-los-angeles-ca/5mnscx6lcnymz/" TargetMode="External"/><Relationship Id="rId6" Type="http://schemas.openxmlformats.org/officeDocument/2006/relationships/hyperlink" Target="https://www.realtor.com/news/celebrity-real-estate/mark-zuckerberg-palo-alto-home-fury-neighbors/" TargetMode="External"/><Relationship Id="rId146" Type="http://schemas.openxmlformats.org/officeDocument/2006/relationships/hyperlink" Target="https://sfstandard.com/2024/11/15/gavin-newsom-buys-marin-mansion/" TargetMode="External"/><Relationship Id="rId7" Type="http://schemas.openxmlformats.org/officeDocument/2006/relationships/hyperlink" Target="https://robbreport.com/shelter/celebrity-homes/mark-zuckerberg-property-portfolio-1236712447/" TargetMode="External"/><Relationship Id="rId145" Type="http://schemas.openxmlformats.org/officeDocument/2006/relationships/hyperlink" Target="http://homes.com/" TargetMode="External"/><Relationship Id="rId8" Type="http://schemas.openxmlformats.org/officeDocument/2006/relationships/hyperlink" Target="https://www.yahoo.com/lifestyle/articles/3-most-expensive-properties-nvidia-115457861.html" TargetMode="External"/><Relationship Id="rId144" Type="http://schemas.openxmlformats.org/officeDocument/2006/relationships/hyperlink" Target="https://www.homes.com/property/200-sea-cliff-ave-san-francisco-ca/6lbnfvv2v66d3/" TargetMode="External"/><Relationship Id="rId73" Type="http://schemas.openxmlformats.org/officeDocument/2006/relationships/hyperlink" Target="https://www.homes.com/property/352-atherton-ave-atherton-ca/x8c1bf64k72nl/" TargetMode="External"/><Relationship Id="rId72" Type="http://schemas.openxmlformats.org/officeDocument/2006/relationships/hyperlink" Target="https://www.celebritynetworth.com/richest-businessmen/richest-billionaires/rick-caruso-net-worth/" TargetMode="External"/><Relationship Id="rId75" Type="http://schemas.openxmlformats.org/officeDocument/2006/relationships/hyperlink" Target="http://homes.com/" TargetMode="External"/><Relationship Id="rId74" Type="http://schemas.openxmlformats.org/officeDocument/2006/relationships/hyperlink" Target="https://www.homes.com/property/190-n-lafayette-st-tracy-ca/x6xzt2lw9j9cx/" TargetMode="External"/><Relationship Id="rId77" Type="http://schemas.openxmlformats.org/officeDocument/2006/relationships/hyperlink" Target="https://www.zillow.com/homedetails/18988-Smith-Rd-Redding-CA-96002/15212777_zpid/" TargetMode="External"/><Relationship Id="rId76" Type="http://schemas.openxmlformats.org/officeDocument/2006/relationships/hyperlink" Target="https://www.zillow.com/homedetails/18988-Smith-Rd-Redding-CA-96002/15212777_zpid/" TargetMode="External"/><Relationship Id="rId79" Type="http://schemas.openxmlformats.org/officeDocument/2006/relationships/hyperlink" Target="https://www.homes.com/property/26170-w-fremont-rd-los-altos-hills-ca/b1fflmh2yhezd/" TargetMode="External"/><Relationship Id="rId78" Type="http://schemas.openxmlformats.org/officeDocument/2006/relationships/hyperlink" Target="https://virtualglobetrotting.com/map/red-emmersons-house/view/google/" TargetMode="External"/><Relationship Id="rId71" Type="http://schemas.openxmlformats.org/officeDocument/2006/relationships/hyperlink" Target="https://xabisinc.com/blog/rick-carusos-net-worth-the-secrets-behind-his-real-estate-success/" TargetMode="External"/><Relationship Id="rId70" Type="http://schemas.openxmlformats.org/officeDocument/2006/relationships/hyperlink" Target="http://homes.com/" TargetMode="External"/><Relationship Id="rId139" Type="http://schemas.openxmlformats.org/officeDocument/2006/relationships/hyperlink" Target="https://www.mansionglobal.com/articles/mighty-morphin-power-rangers-creator-haim-sabans-malibu-beach-house-gets-a-7-5-million-discount-3b235ba0" TargetMode="External"/><Relationship Id="rId138" Type="http://schemas.openxmlformats.org/officeDocument/2006/relationships/hyperlink" Target="https://socketsite.com/archives/2015/11/behind-the-28-5m-fixer-under-wraps-on-billionaires-row.html" TargetMode="External"/><Relationship Id="rId137" Type="http://schemas.openxmlformats.org/officeDocument/2006/relationships/hyperlink" Target="https://www.ocregister.com/2011/08/11/see-how-a-billionaire-lives/" TargetMode="External"/><Relationship Id="rId132" Type="http://schemas.openxmlformats.org/officeDocument/2006/relationships/hyperlink" Target="https://www.forbes.com/sites/chasewithorn/2026/01/15/los-angeles-billionaire-moves-to-nevada-after-california-threatens-to-tax-wealth/" TargetMode="External"/><Relationship Id="rId131" Type="http://schemas.openxmlformats.org/officeDocument/2006/relationships/hyperlink" Target="https://therealdeal.com/la/2020/05/09/uber-buy-travis-kalanick-behind-43m-bel-air-purchase/" TargetMode="External"/><Relationship Id="rId130" Type="http://schemas.openxmlformats.org/officeDocument/2006/relationships/hyperlink" Target="https://www.yahoo.com/entertainment/whatsapp-co-founder-brian-acton-174840726.html" TargetMode="External"/><Relationship Id="rId136" Type="http://schemas.openxmlformats.org/officeDocument/2006/relationships/hyperlink" Target="https://www.zillow.com/homedetails/3001-W-Ruby-Hill-Dr-Pleasanton-CA-94566/25087211_zpid/" TargetMode="External"/><Relationship Id="rId135" Type="http://schemas.openxmlformats.org/officeDocument/2006/relationships/hyperlink" Target="https://www.forbes.com/sites/chasewithorn/2026/01/15/los-angeles-billionaire-moves-to-nevada-after-california-threatens-to-tax-wealth/" TargetMode="External"/><Relationship Id="rId134" Type="http://schemas.openxmlformats.org/officeDocument/2006/relationships/hyperlink" Target="https://www.foxbusiness.com/politics/tech-billionaires-threaten-flee-california-over-proposed-5-wealth-tax" TargetMode="External"/><Relationship Id="rId133" Type="http://schemas.openxmlformats.org/officeDocument/2006/relationships/hyperlink" Target="https://www.forbes.com/sites/iainmartin/2024/07/22/billionaire-palmer-luckey-sues-contractor-after-being-trapped-in-his-mansions-car-elevator/" TargetMode="External"/><Relationship Id="rId62" Type="http://schemas.openxmlformats.org/officeDocument/2006/relationships/hyperlink" Target="https://www.homes.com/property/75-oakmont-dr-los-angeles-ca/tcbdp4fxzjekc/" TargetMode="External"/><Relationship Id="rId61" Type="http://schemas.openxmlformats.org/officeDocument/2006/relationships/hyperlink" Target="https://www.finance-monthly.com/steven-spielbergs-net-worth-9-5-billion-in-2025/" TargetMode="External"/><Relationship Id="rId64" Type="http://schemas.openxmlformats.org/officeDocument/2006/relationships/hyperlink" Target="http://homes.com/" TargetMode="External"/><Relationship Id="rId63" Type="http://schemas.openxmlformats.org/officeDocument/2006/relationships/hyperlink" Target="https://www.homes.com/property/75-oakmont-dr-los-angeles-ca/tcbdp4fxzjekc/" TargetMode="External"/><Relationship Id="rId66" Type="http://schemas.openxmlformats.org/officeDocument/2006/relationships/hyperlink" Target="https://www.homes.com/property/376-mountain-home-rd-woodside-ca/p6sh3hp6plvk6/" TargetMode="External"/><Relationship Id="rId172" Type="http://schemas.openxmlformats.org/officeDocument/2006/relationships/hyperlink" Target="http://homes.com/" TargetMode="External"/><Relationship Id="rId65" Type="http://schemas.openxmlformats.org/officeDocument/2006/relationships/hyperlink" Target="https://www.homes.com/property/376-mountain-home-rd-woodside-ca/p6sh3hp6plvk6/" TargetMode="External"/><Relationship Id="rId171" Type="http://schemas.openxmlformats.org/officeDocument/2006/relationships/hyperlink" Target="https://www.homes.com/property/630-olive-st-menlo-park-ca/51jrtwk38571r/" TargetMode="External"/><Relationship Id="rId68" Type="http://schemas.openxmlformats.org/officeDocument/2006/relationships/hyperlink" Target="https://www.bloomberg.com/news/articles/2026-01-08/california-wealth-tax-threat-pushes-billionaires-to-texas-florida" TargetMode="External"/><Relationship Id="rId170" Type="http://schemas.openxmlformats.org/officeDocument/2006/relationships/hyperlink" Target="https://www.yahoo.com/entertainment/altair-ceo-james-scapa-drops-151321244.html" TargetMode="External"/><Relationship Id="rId67" Type="http://schemas.openxmlformats.org/officeDocument/2006/relationships/hyperlink" Target="http://homes.com/" TargetMode="External"/><Relationship Id="rId60" Type="http://schemas.openxmlformats.org/officeDocument/2006/relationships/hyperlink" Target="https://www.finance-monthly.com/steven-spielbergs-net-worth-9-5-billion-in-2025/" TargetMode="External"/><Relationship Id="rId165" Type="http://schemas.openxmlformats.org/officeDocument/2006/relationships/hyperlink" Target="https://www.homes.com/property/425-pinehill-rd-hillsborough-ca/2ehv6v96drdxd/" TargetMode="External"/><Relationship Id="rId69" Type="http://schemas.openxmlformats.org/officeDocument/2006/relationships/hyperlink" Target="https://www.homes.com/property/20-willow-rd-menlo-park-ca-unit-8/hbwec8jc2rsrg/" TargetMode="External"/><Relationship Id="rId164" Type="http://schemas.openxmlformats.org/officeDocument/2006/relationships/hyperlink" Target="https://www.celebritynetworth.com/richest-businessmen/business-executives/joe-lacob-net-worth/" TargetMode="External"/><Relationship Id="rId163" Type="http://schemas.openxmlformats.org/officeDocument/2006/relationships/hyperlink" Target="https://www.celebritynetworth.com/richest-businessmen/business-executives/sheryl-sandberg-net-worth/" TargetMode="External"/><Relationship Id="rId162" Type="http://schemas.openxmlformats.org/officeDocument/2006/relationships/hyperlink" Target="https://www.mansionglobal.com/articles/investor-bruce-karsh-buys-grey-estate-in-l-a-for-68-82m-97050" TargetMode="External"/><Relationship Id="rId169" Type="http://schemas.openxmlformats.org/officeDocument/2006/relationships/hyperlink" Target="https://www.homes.com/property/706-los-trancos-rd-palo-alto-ca/6cl34trhqwct0/" TargetMode="External"/><Relationship Id="rId168" Type="http://schemas.openxmlformats.org/officeDocument/2006/relationships/hyperlink" Target="https://www.realtor.com/news/celebrity-real-estate/max-levchin-selling-san-francisco-home/" TargetMode="External"/><Relationship Id="rId167" Type="http://schemas.openxmlformats.org/officeDocument/2006/relationships/hyperlink" Target="https://www.mansionglobal.com/articles/tom-ford-drops-39m-on-a-fashionable-los-angeles-home-48537" TargetMode="External"/><Relationship Id="rId166" Type="http://schemas.openxmlformats.org/officeDocument/2006/relationships/hyperlink" Target="https://robbreport.com/shelter/celebrity-homes/egon-durban-house-del-mar-san-diego-1235501340/" TargetMode="External"/><Relationship Id="rId51" Type="http://schemas.openxmlformats.org/officeDocument/2006/relationships/hyperlink" Target="https://www.homes.com/property/1401-emerson-st-palo-alto-ca/znpl6z10qsgvy/" TargetMode="External"/><Relationship Id="rId50" Type="http://schemas.openxmlformats.org/officeDocument/2006/relationships/hyperlink" Target="https://www.homes.com/property/1401-emerson-st-palo-alto-ca/znpl6z10qsgvy/" TargetMode="External"/><Relationship Id="rId53" Type="http://schemas.openxmlformats.org/officeDocument/2006/relationships/hyperlink" Target="https://blockshopper.com/ca/san-francisco-county/san-francisco/property/0953006/2626-vallejo-street" TargetMode="External"/><Relationship Id="rId52" Type="http://schemas.openxmlformats.org/officeDocument/2006/relationships/hyperlink" Target="http://homes.com/" TargetMode="External"/><Relationship Id="rId55" Type="http://schemas.openxmlformats.org/officeDocument/2006/relationships/hyperlink" Target="https://www.bloomberg.com/news/articles/2026-01-08/california-wealth-tax-threat-pushes-billionaires-to-texas-florida" TargetMode="External"/><Relationship Id="rId161" Type="http://schemas.openxmlformats.org/officeDocument/2006/relationships/hyperlink" Target="http://homes.com/" TargetMode="External"/><Relationship Id="rId54" Type="http://schemas.openxmlformats.org/officeDocument/2006/relationships/hyperlink" Target="https://blockshopper.com/ca/san-francisco-county/san-francisco/property/0953006/2626-vallejo-street" TargetMode="External"/><Relationship Id="rId160" Type="http://schemas.openxmlformats.org/officeDocument/2006/relationships/hyperlink" Target="https://www.homes.com/property/707-foothill-rd-beverly-hills-ca/251e7k49sd7c5/" TargetMode="External"/><Relationship Id="rId57" Type="http://schemas.openxmlformats.org/officeDocument/2006/relationships/hyperlink" Target="https://www.homes.com/property/10051-valley-spring-ln-toluca-lake-ca/kd8ylmg68cld1/" TargetMode="External"/><Relationship Id="rId56" Type="http://schemas.openxmlformats.org/officeDocument/2006/relationships/hyperlink" Target="https://www.homes.com/property/10051-valley-spring-ln-toluca-lake-ca/kd8ylmg68cld1/" TargetMode="External"/><Relationship Id="rId159" Type="http://schemas.openxmlformats.org/officeDocument/2006/relationships/hyperlink" Target="http://homes.com/" TargetMode="External"/><Relationship Id="rId59" Type="http://schemas.openxmlformats.org/officeDocument/2006/relationships/hyperlink" Target="https://www.forbes.com/sites/trulia/2014/04/04/las-super-mansion-fleur-de-lys-sells-for-a-record-breaking-102-million/" TargetMode="External"/><Relationship Id="rId154" Type="http://schemas.openxmlformats.org/officeDocument/2006/relationships/hyperlink" Target="https://www.homes.com/property/8251-foxen-canyon-rd-santa-maria-ca/2bmy6843gbkgc/" TargetMode="External"/><Relationship Id="rId58" Type="http://schemas.openxmlformats.org/officeDocument/2006/relationships/hyperlink" Target="http://homes.com/" TargetMode="External"/><Relationship Id="rId153" Type="http://schemas.openxmlformats.org/officeDocument/2006/relationships/hyperlink" Target="https://www.architecturaldigest.com/story/billionaire-snapchat-ceo-evan-spiegel-model-miranda-kerr-la-home" TargetMode="External"/><Relationship Id="rId152" Type="http://schemas.openxmlformats.org/officeDocument/2006/relationships/hyperlink" Target="https://www.financialexpress.com/life/technology-apple-ceo-tim-cook-a-look-at-his-net-worth-his-career-at-apple-personal-properties-cars-and-more-4047251/" TargetMode="External"/><Relationship Id="rId151" Type="http://schemas.openxmlformats.org/officeDocument/2006/relationships/hyperlink" Target="https://www.homes.com/property/5592-via-bonita-newbury-park-ca/7bmrl59d17vfr/" TargetMode="External"/><Relationship Id="rId158" Type="http://schemas.openxmlformats.org/officeDocument/2006/relationships/hyperlink" Target="https://www.homes.com/property/1300-hamilton-ave-palo-alto-ca/e4m6d56y4nv0x/" TargetMode="External"/><Relationship Id="rId157" Type="http://schemas.openxmlformats.org/officeDocument/2006/relationships/hyperlink" Target="https://finance.yahoo.com/news/reid-hoffman-calls-californias-proposed-230843856.html" TargetMode="External"/><Relationship Id="rId156" Type="http://schemas.openxmlformats.org/officeDocument/2006/relationships/hyperlink" Target="http://homes.com/" TargetMode="External"/><Relationship Id="rId155" Type="http://schemas.openxmlformats.org/officeDocument/2006/relationships/hyperlink" Target="https://www.homes.com/property/45-downey-way-hillsborough-ca/nbrb8lkwthq8p/" TargetMode="External"/><Relationship Id="rId107" Type="http://schemas.openxmlformats.org/officeDocument/2006/relationships/hyperlink" Target="http://homes.com/" TargetMode="External"/><Relationship Id="rId228" Type="http://schemas.openxmlformats.org/officeDocument/2006/relationships/hyperlink" Target="https://www.sandiegouniontribune.com/2014/09/24/sports-betting-icons-home-sold-for-13m/" TargetMode="External"/><Relationship Id="rId106" Type="http://schemas.openxmlformats.org/officeDocument/2006/relationships/hyperlink" Target="https://www.forbes.com/sites/forbeswealthteam/2023/08/26/when-10-homes-isnt-enough-which-billionaires-own-the-most-properties-larry-ellison-jeff-bezos-oprah-winfrey/" TargetMode="External"/><Relationship Id="rId227" Type="http://schemas.openxmlformats.org/officeDocument/2006/relationships/hyperlink" Target="https://www.homes.com/property/2793-glorietta-cir-santa-clara-ca/8fmm2ykrfp59c/" TargetMode="External"/><Relationship Id="rId105" Type="http://schemas.openxmlformats.org/officeDocument/2006/relationships/hyperlink" Target="https://www.homes.com/property/3340-jackson-st-san-francisco-ca/lemwwpgc5tfrh/" TargetMode="External"/><Relationship Id="rId226" Type="http://schemas.openxmlformats.org/officeDocument/2006/relationships/hyperlink" Target="https://southsfbaynews.com/home-sales-in-santa-clara-county-in-week-ending-feb-10/" TargetMode="External"/><Relationship Id="rId104" Type="http://schemas.openxmlformats.org/officeDocument/2006/relationships/hyperlink" Target="http://homes.com/" TargetMode="External"/><Relationship Id="rId225" Type="http://schemas.openxmlformats.org/officeDocument/2006/relationships/hyperlink" Target="http://homes.com/" TargetMode="External"/><Relationship Id="rId109" Type="http://schemas.openxmlformats.org/officeDocument/2006/relationships/hyperlink" Target="https://kanebridgenews.com/one-of-americas-biggest-homes-hits-the-market-for-195-million/" TargetMode="External"/><Relationship Id="rId108" Type="http://schemas.openxmlformats.org/officeDocument/2006/relationships/hyperlink" Target="https://kanebridgenews.com/one-of-americas-biggest-homes-hits-the-market-for-195-million/" TargetMode="External"/><Relationship Id="rId229" Type="http://schemas.openxmlformats.org/officeDocument/2006/relationships/hyperlink" Target="https://www.celebritynetworth.com/richest-businessmen/ceos/marissa-mayer-net-worth/" TargetMode="External"/><Relationship Id="rId220" Type="http://schemas.openxmlformats.org/officeDocument/2006/relationships/hyperlink" Target="https://www.zillow.com/homedetails/100-Brighton-Ave-Bolinas-CA-94924/19306502_zpid/" TargetMode="External"/><Relationship Id="rId103" Type="http://schemas.openxmlformats.org/officeDocument/2006/relationships/hyperlink" Target="https://www.homes.com/property/27161-w-fremont-rd-los-altos-hills-ca/yneqges0z8j44/" TargetMode="External"/><Relationship Id="rId224" Type="http://schemas.openxmlformats.org/officeDocument/2006/relationships/hyperlink" Target="https://www.homes.com/property/1547-forge-rd-san-mateo-ca/wtmg59xeew5jg/" TargetMode="External"/><Relationship Id="rId102" Type="http://schemas.openxmlformats.org/officeDocument/2006/relationships/hyperlink" Target="http://homes.com/" TargetMode="External"/><Relationship Id="rId223" Type="http://schemas.openxmlformats.org/officeDocument/2006/relationships/hyperlink" Target="https://www.realtor.com/news/celebrity-real-estate/nikesh-arora-selling-atherton-mansion/" TargetMode="External"/><Relationship Id="rId101" Type="http://schemas.openxmlformats.org/officeDocument/2006/relationships/hyperlink" Target="https://www.homes.com/property/429-elizabeth-st-san-francisco-ca/xpxfwnhw0x4kw/" TargetMode="External"/><Relationship Id="rId222" Type="http://schemas.openxmlformats.org/officeDocument/2006/relationships/hyperlink" Target="http://homes.com/" TargetMode="External"/><Relationship Id="rId100" Type="http://schemas.openxmlformats.org/officeDocument/2006/relationships/hyperlink" Target="https://www.homes.com/property/429-elizabeth-st-san-francisco-ca/xpxfwnhw0x4kw/" TargetMode="External"/><Relationship Id="rId221" Type="http://schemas.openxmlformats.org/officeDocument/2006/relationships/hyperlink" Target="https://www.wsj.com/real-estate/luxury-homes/billionaire-ai-co-founder-lucy-guo-pays-nearly-30-million-for-l-a-spec-house-9da5120f" TargetMode="External"/><Relationship Id="rId217" Type="http://schemas.openxmlformats.org/officeDocument/2006/relationships/hyperlink" Target="https://www.homes.com/property/27900-black-mountain-rd-los-altos-hills-ca/scgqmgwh8hdgw/" TargetMode="External"/><Relationship Id="rId216" Type="http://schemas.openxmlformats.org/officeDocument/2006/relationships/hyperlink" Target="http://homes.com/" TargetMode="External"/><Relationship Id="rId215" Type="http://schemas.openxmlformats.org/officeDocument/2006/relationships/hyperlink" Target="https://www.homes.com/property/5309-delta-river-dr-lansing-mi/r6j7x5t79r0e6/" TargetMode="External"/><Relationship Id="rId214" Type="http://schemas.openxmlformats.org/officeDocument/2006/relationships/hyperlink" Target="https://www.homes.com/property/12-beverly-park-beverly-hills-ca/e5yt4yzd0p2bz/" TargetMode="External"/><Relationship Id="rId219" Type="http://schemas.openxmlformats.org/officeDocument/2006/relationships/hyperlink" Target="https://www.celebritynetworth.com/richest-businessmen/ceos/mark-pincus-net-worth/" TargetMode="External"/><Relationship Id="rId218" Type="http://schemas.openxmlformats.org/officeDocument/2006/relationships/hyperlink" Target="https://www.homes.com/property/27900-black-mountain-rd-los-altos-hills-ca/scgqmgwh8hdgw/" TargetMode="External"/><Relationship Id="rId213" Type="http://schemas.openxmlformats.org/officeDocument/2006/relationships/hyperlink" Target="https://www.homes.com/property/20-crystal-dr-crystal-bay-nv/h43f6rey97jbe/" TargetMode="External"/><Relationship Id="rId212" Type="http://schemas.openxmlformats.org/officeDocument/2006/relationships/hyperlink" Target="https://www.homes.com/property/5821-river-oak-way-carmichael-ca/g7k2zwv2vfp5w/" TargetMode="External"/><Relationship Id="rId211" Type="http://schemas.openxmlformats.org/officeDocument/2006/relationships/hyperlink" Target="https://timesofindia.indiatimes.com/etimes/trending/sundar-pichais-journey-from-humble-beginnings-to-google-ceo-and-a-40-million-california-mansion/articleshow/113258369.cms" TargetMode="External"/><Relationship Id="rId210" Type="http://schemas.openxmlformats.org/officeDocument/2006/relationships/hyperlink" Target="https://www.homes.com/property/33-16th-st-hermosa-beach-ca/01q976qwnm5z2/" TargetMode="External"/><Relationship Id="rId129" Type="http://schemas.openxmlformats.org/officeDocument/2006/relationships/hyperlink" Target="http://homes.com/" TargetMode="External"/><Relationship Id="rId128" Type="http://schemas.openxmlformats.org/officeDocument/2006/relationships/hyperlink" Target="https://www.homes.com/property/13685-la-paloma-rd-los-altos-hills-ca/fmywnqbsb44wd/" TargetMode="External"/><Relationship Id="rId127" Type="http://schemas.openxmlformats.org/officeDocument/2006/relationships/hyperlink" Target="http://homes.com/" TargetMode="External"/><Relationship Id="rId126" Type="http://schemas.openxmlformats.org/officeDocument/2006/relationships/hyperlink" Target="https://www.homes.com/property/517-alta-ave-santa-monica-ca/vq4nqr9enjgpr/" TargetMode="External"/><Relationship Id="rId121" Type="http://schemas.openxmlformats.org/officeDocument/2006/relationships/hyperlink" Target="https://www.casino.org/news/as-owner-buys-3rd-most-expensive-vegas-home-ever-sold/" TargetMode="External"/><Relationship Id="rId242" Type="http://schemas.openxmlformats.org/officeDocument/2006/relationships/hyperlink" Target="https://www.homes.com/property/2980-california-st-san-francisco-ca/6wj2vym2ztd2b/" TargetMode="External"/><Relationship Id="rId120" Type="http://schemas.openxmlformats.org/officeDocument/2006/relationships/hyperlink" Target="http://homes.com/" TargetMode="External"/><Relationship Id="rId241" Type="http://schemas.openxmlformats.org/officeDocument/2006/relationships/hyperlink" Target="https://www.homes.com/property/2980-california-st-san-francisco-ca/6wj2vym2ztd2b/" TargetMode="External"/><Relationship Id="rId240" Type="http://schemas.openxmlformats.org/officeDocument/2006/relationships/hyperlink" Target="https://www.homes.com/property/50-blue-heron-irvine-ca/mq2wf6e3eegw4/" TargetMode="External"/><Relationship Id="rId125" Type="http://schemas.openxmlformats.org/officeDocument/2006/relationships/hyperlink" Target="http://homes.com/" TargetMode="External"/><Relationship Id="rId124" Type="http://schemas.openxmlformats.org/officeDocument/2006/relationships/hyperlink" Target="https://www.homes.com/property/347-precita-ave-san-francisco-ca/48ds9edzhcj41/" TargetMode="External"/><Relationship Id="rId123" Type="http://schemas.openxmlformats.org/officeDocument/2006/relationships/hyperlink" Target="https://www.homes.com/property/34-bothin-rd-fairfax-ca-unit-a/trh18zhv4y4gc/" TargetMode="External"/><Relationship Id="rId244" Type="http://schemas.openxmlformats.org/officeDocument/2006/relationships/drawing" Target="../drawings/drawing1.xml"/><Relationship Id="rId122" Type="http://schemas.openxmlformats.org/officeDocument/2006/relationships/hyperlink" Target="https://therealdeal.com/la/2017/02/21/alo-yoga-founder-buys-beverly-hills-house-from-bebe-founder-for-30m/" TargetMode="External"/><Relationship Id="rId243" Type="http://schemas.openxmlformats.org/officeDocument/2006/relationships/hyperlink" Target="http://homes.com/" TargetMode="External"/><Relationship Id="rId95" Type="http://schemas.openxmlformats.org/officeDocument/2006/relationships/hyperlink" Target="https://www.homes.com/property/34-maple-st-san-francisco-ca/83sknmj9zbck7/" TargetMode="External"/><Relationship Id="rId94" Type="http://schemas.openxmlformats.org/officeDocument/2006/relationships/hyperlink" Target="https://www.yahoo.com/entertainment/twitter-ceo-jack-dorsey-scoops-011751538.html" TargetMode="External"/><Relationship Id="rId97" Type="http://schemas.openxmlformats.org/officeDocument/2006/relationships/hyperlink" Target="https://www.homes.com/property/2324-pacific-ave-san-francisco-ca/qpzresp8fbygw/" TargetMode="External"/><Relationship Id="rId96" Type="http://schemas.openxmlformats.org/officeDocument/2006/relationships/hyperlink" Target="http://homes.com/" TargetMode="External"/><Relationship Id="rId99" Type="http://schemas.openxmlformats.org/officeDocument/2006/relationships/hyperlink" Target="http://homes.com/" TargetMode="External"/><Relationship Id="rId98" Type="http://schemas.openxmlformats.org/officeDocument/2006/relationships/hyperlink" Target="https://www.homes.com/property/2324-pacific-ave-san-francisco-ca/qpzresp8fbygw/" TargetMode="External"/><Relationship Id="rId91" Type="http://schemas.openxmlformats.org/officeDocument/2006/relationships/hyperlink" Target="https://www.celebritynetworth.com/richest-businessmen/ceos/reed-hastings-net-worth/" TargetMode="External"/><Relationship Id="rId90" Type="http://schemas.openxmlformats.org/officeDocument/2006/relationships/hyperlink" Target="https://www.marinij.com/2023/07/29/george-lucas-sues-to-secure-san-anselmo-parcel-ownership/" TargetMode="External"/><Relationship Id="rId93" Type="http://schemas.openxmlformats.org/officeDocument/2006/relationships/hyperlink" Target="https://nypost.com/2026/01/08/real-estate/tech-titans-leaving-california-for-florida-over-billionaire-tax/" TargetMode="External"/><Relationship Id="rId92" Type="http://schemas.openxmlformats.org/officeDocument/2006/relationships/hyperlink" Target="https://www.celebritynetworth.com/richest-businessmen/ceos/reed-hastings-net-worth/" TargetMode="External"/><Relationship Id="rId118" Type="http://schemas.openxmlformats.org/officeDocument/2006/relationships/hyperlink" Target="https://www.yahoo.com/entertainment/billionaire-behdad-eghbali-buys-21-224623408.html" TargetMode="External"/><Relationship Id="rId239" Type="http://schemas.openxmlformats.org/officeDocument/2006/relationships/hyperlink" Target="http://homes.com/" TargetMode="External"/><Relationship Id="rId117" Type="http://schemas.openxmlformats.org/officeDocument/2006/relationships/hyperlink" Target="https://www.latimes.com/business/real-estate/story/2020-08-10/quibi-chief-meg-whitman-lists-west-hollywood-condo-for-6-5-million" TargetMode="External"/><Relationship Id="rId238" Type="http://schemas.openxmlformats.org/officeDocument/2006/relationships/hyperlink" Target="https://www.homes.com/property/320-kellogg-ave-palo-alto-ca/98lwzz13kxwmq/" TargetMode="External"/><Relationship Id="rId116" Type="http://schemas.openxmlformats.org/officeDocument/2006/relationships/hyperlink" Target="https://www.latimes.com/business/real-estate/story/2020-08-10/quibi-chief-meg-whitman-lists-west-hollywood-condo-for-6-5-million" TargetMode="External"/><Relationship Id="rId237" Type="http://schemas.openxmlformats.org/officeDocument/2006/relationships/hyperlink" Target="http://homes.com/" TargetMode="External"/><Relationship Id="rId115" Type="http://schemas.openxmlformats.org/officeDocument/2006/relationships/hyperlink" Target="https://palisadesnews.com/private-equity-billionaire-jose-e-feliciano-buys-50-palisades-million-mansion-narrowly-avoids-new-mansion-tax/" TargetMode="External"/><Relationship Id="rId236" Type="http://schemas.openxmlformats.org/officeDocument/2006/relationships/hyperlink" Target="https://www.homes.com/property/11794-ellice-st-malibu-ca/nqj39y76kjbyw/" TargetMode="External"/><Relationship Id="rId119" Type="http://schemas.openxmlformats.org/officeDocument/2006/relationships/hyperlink" Target="https://www.homes.com/property/4512-lin-gate-st-pleasanton-ca/jfjbyjdmsmcgx/" TargetMode="External"/><Relationship Id="rId110" Type="http://schemas.openxmlformats.org/officeDocument/2006/relationships/hyperlink" Target="https://www.homes.com/property/808-n-beverly-dr-beverly-hills-ca/lgnr8czbm0szq/" TargetMode="External"/><Relationship Id="rId231" Type="http://schemas.openxmlformats.org/officeDocument/2006/relationships/hyperlink" Target="https://www.homes.com/property/801-woodacres-rd-santa-monica-ca/dq03b039mb926/" TargetMode="External"/><Relationship Id="rId230" Type="http://schemas.openxmlformats.org/officeDocument/2006/relationships/hyperlink" Target="https://www.homes.com/property/801-woodacres-rd-santa-monica-ca/dq03b039mb926/" TargetMode="External"/><Relationship Id="rId114" Type="http://schemas.openxmlformats.org/officeDocument/2006/relationships/hyperlink" Target="https://palisadesnews.com/private-equity-billionaire-jose-e-feliciano-buys-50-palisades-million-mansion-narrowly-avoids-new-mansion-tax/" TargetMode="External"/><Relationship Id="rId235" Type="http://schemas.openxmlformats.org/officeDocument/2006/relationships/hyperlink" Target="https://www.homes.com/property/20029-northridge-rd-chatsworth-ca/nj7br6e25n9bn/" TargetMode="External"/><Relationship Id="rId113" Type="http://schemas.openxmlformats.org/officeDocument/2006/relationships/hyperlink" Target="https://www.sacbee.com/news/business/real-estate-news/article141950429.html" TargetMode="External"/><Relationship Id="rId234" Type="http://schemas.openxmlformats.org/officeDocument/2006/relationships/hyperlink" Target="https://www.realtor.com/news/celebrity-real-estate/lebron-james-los-angeles-lakers-home-points-nba/" TargetMode="External"/><Relationship Id="rId112" Type="http://schemas.openxmlformats.org/officeDocument/2006/relationships/hyperlink" Target="http://homes.com/" TargetMode="External"/><Relationship Id="rId233" Type="http://schemas.openxmlformats.org/officeDocument/2006/relationships/hyperlink" Target="https://nypost.com/2025/11/20/sports/see-photos-of-lebron-james-37-million-beverly-hills-home/" TargetMode="External"/><Relationship Id="rId111" Type="http://schemas.openxmlformats.org/officeDocument/2006/relationships/hyperlink" Target="https://www.homes.com/property/808-n-beverly-dr-beverly-hills-ca/lgnr8czbm0szq/" TargetMode="External"/><Relationship Id="rId232" Type="http://schemas.openxmlformats.org/officeDocument/2006/relationships/hyperlink" Target="https://www.homes.com/property/1730-university-ave-palo-alto-ca/m2pgx4ydnzy53/" TargetMode="External"/><Relationship Id="rId206" Type="http://schemas.openxmlformats.org/officeDocument/2006/relationships/hyperlink" Target="https://www.homes.com/property/1162-tower-rd-beverly-hills-ca/qnh4f481ptw1y/" TargetMode="External"/><Relationship Id="rId205" Type="http://schemas.openxmlformats.org/officeDocument/2006/relationships/hyperlink" Target="https://www.homes.com/property/3456-washington-st-san-francisco-ca/5d1del25rt9yp/" TargetMode="External"/><Relationship Id="rId204" Type="http://schemas.openxmlformats.org/officeDocument/2006/relationships/hyperlink" Target="https://www.homes.com/property/2635-lyon-st-san-francisco-ca/ebwpp90x0hj1y/" TargetMode="External"/><Relationship Id="rId203" Type="http://schemas.openxmlformats.org/officeDocument/2006/relationships/hyperlink" Target="https://www.homes.com/property/5225-maacama-ridge-rd-healdsburg-ca/zltnlmerk7sjv/" TargetMode="External"/><Relationship Id="rId209" Type="http://schemas.openxmlformats.org/officeDocument/2006/relationships/hyperlink" Target="https://www.homes.com/property/33-16th-st-hermosa-beach-ca/01q976qwnm5z2/" TargetMode="External"/><Relationship Id="rId208" Type="http://schemas.openxmlformats.org/officeDocument/2006/relationships/hyperlink" Target="http://homes.com/" TargetMode="External"/><Relationship Id="rId207" Type="http://schemas.openxmlformats.org/officeDocument/2006/relationships/hyperlink" Target="https://www.homes.com/property/1162-tower-rd-beverly-hills-ca/qnh4f481ptw1y/" TargetMode="External"/><Relationship Id="rId202" Type="http://schemas.openxmlformats.org/officeDocument/2006/relationships/hyperlink" Target="https://www.homes.com/property/144-monte-carlo-dr-laguna-beach-ca/xg2w65bmqx27x/" TargetMode="External"/><Relationship Id="rId201" Type="http://schemas.openxmlformats.org/officeDocument/2006/relationships/hyperlink" Target="https://www.homes.com/property/144-monte-carlo-dr-laguna-beach-ca/xg2w65bmqx27x/" TargetMode="External"/><Relationship Id="rId200" Type="http://schemas.openxmlformats.org/officeDocument/2006/relationships/hyperlink" Target="https://buffalonews.com/entertainment/arts-and-theatre/jeffrey-gundlach-the-man-behind-the-millions/article_3ac395ee-59c1-5659-89f9-8d1bf6e75a89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finance.yahoo.com/news/david-geffen-completes-68-million-192458970.html" TargetMode="External"/><Relationship Id="rId42" Type="http://schemas.openxmlformats.org/officeDocument/2006/relationships/hyperlink" Target="https://apnews.com/article/innout-ceo-moving-af175b4926847325970b5bcba52276fe" TargetMode="External"/><Relationship Id="rId41" Type="http://schemas.openxmlformats.org/officeDocument/2006/relationships/hyperlink" Target="https://www.inman.com/2020/06/11/entertainment-mogul-david-geffen-buys-la-luxury-estate-for-68m/" TargetMode="External"/><Relationship Id="rId44" Type="http://schemas.openxmlformats.org/officeDocument/2006/relationships/hyperlink" Target="http://homes.com/" TargetMode="External"/><Relationship Id="rId43" Type="http://schemas.openxmlformats.org/officeDocument/2006/relationships/hyperlink" Target="https://www.homes.com/property/27450-pacific-coast-hwy-malibu-ca/gt8keb94hyyzn/" TargetMode="External"/><Relationship Id="rId46" Type="http://schemas.openxmlformats.org/officeDocument/2006/relationships/hyperlink" Target="https://www.homes.com/property/1401-emerson-st-palo-alto-ca/znpl6z10qsgvy/" TargetMode="External"/><Relationship Id="rId45" Type="http://schemas.openxmlformats.org/officeDocument/2006/relationships/hyperlink" Target="https://www.forbes.com/sites/chasewithorn/2026/01/15/los-angeles-billionaire-moves-to-nevada-after-california-threatens-to-tax-wealth/" TargetMode="External"/><Relationship Id="rId48" Type="http://schemas.openxmlformats.org/officeDocument/2006/relationships/hyperlink" Target="http://homes.com/" TargetMode="External"/><Relationship Id="rId47" Type="http://schemas.openxmlformats.org/officeDocument/2006/relationships/hyperlink" Target="https://www.homes.com/property/1401-emerson-st-palo-alto-ca/znpl6z10qsgvy/" TargetMode="External"/><Relationship Id="rId49" Type="http://schemas.openxmlformats.org/officeDocument/2006/relationships/hyperlink" Target="https://blockshopper.com/ca/san-francisco-county/san-francisco/property/0953006/2626-vallejo-street" TargetMode="External"/><Relationship Id="rId31" Type="http://schemas.openxmlformats.org/officeDocument/2006/relationships/hyperlink" Target="https://www.celebritynetworth.com/richest-businessmen/richest-billionaires/douglas-leone-net-worth/" TargetMode="External"/><Relationship Id="rId30" Type="http://schemas.openxmlformats.org/officeDocument/2006/relationships/hyperlink" Target="https://www.seattletimes.com/business/young-tech-millionaires-keeping-1-bedroom-lifestyle/" TargetMode="External"/><Relationship Id="rId33" Type="http://schemas.openxmlformats.org/officeDocument/2006/relationships/hyperlink" Target="https://sfstandard.com/2025/09/09/chris-larsen-napa-home/" TargetMode="External"/><Relationship Id="rId32" Type="http://schemas.openxmlformats.org/officeDocument/2006/relationships/hyperlink" Target="https://www.celebritynetworth.com/richest-businessmen/richest-billionaires/douglas-leone-net-worth/" TargetMode="External"/><Relationship Id="rId35" Type="http://schemas.openxmlformats.org/officeDocument/2006/relationships/hyperlink" Target="https://www.urbansplatter.com/2022/05/brian-armstrong-house-the-los-angeles-mansion/" TargetMode="External"/><Relationship Id="rId34" Type="http://schemas.openxmlformats.org/officeDocument/2006/relationships/hyperlink" Target="https://docs.google.com/spreadsheets/d/1-d_IAr8tITUy_s8QmIzH-FLYoODzaBxNMWShu9W7IFk/edit?gid=1121030019" TargetMode="External"/><Relationship Id="rId37" Type="http://schemas.openxmlformats.org/officeDocument/2006/relationships/hyperlink" Target="https://therealdeal.com/la/2016/10/24/platinum-equity-ceo-buys-holmby-hills-spec-home-for-100m/" TargetMode="External"/><Relationship Id="rId36" Type="http://schemas.openxmlformats.org/officeDocument/2006/relationships/hyperlink" Target="https://www.urbansplatter.com/2022/05/brian-armstrong-house-the-los-angeles-mansion/" TargetMode="External"/><Relationship Id="rId39" Type="http://schemas.openxmlformats.org/officeDocument/2006/relationships/hyperlink" Target="https://www.yahoo.com/entertainment/twitter-ceo-jack-dorsey-scoops-011751538.html" TargetMode="External"/><Relationship Id="rId38" Type="http://schemas.openxmlformats.org/officeDocument/2006/relationships/hyperlink" Target="https://www.washingtonpost.com/technology/2026/01/19/california-wealth-tax-exodus/" TargetMode="External"/><Relationship Id="rId20" Type="http://schemas.openxmlformats.org/officeDocument/2006/relationships/hyperlink" Target="https://blockshopper.com/ca/los-angeles-county/rolling-hills/property/7567015025/6-east-crest-road" TargetMode="External"/><Relationship Id="rId22" Type="http://schemas.openxmlformats.org/officeDocument/2006/relationships/hyperlink" Target="https://www.celebritynetworth.com/articles/billionaire-news/jan-koum-grew-up-on-food-stamps-and-now-owns-more-than-400-million-worth-of-california-real-estate/" TargetMode="External"/><Relationship Id="rId21" Type="http://schemas.openxmlformats.org/officeDocument/2006/relationships/hyperlink" Target="https://www.celebritynetworth.com/articles/celebrity-homes/two-years-after-paying-100-million-for-a-malibu-mansion-whatsapp-founder-buys-the-house-next-door-for-87-million/" TargetMode="External"/><Relationship Id="rId24" Type="http://schemas.openxmlformats.org/officeDocument/2006/relationships/hyperlink" Target="https://blockshopper.com/ca/san-mateo-county/atherton/property/070032440/260-atherton-avenue" TargetMode="External"/><Relationship Id="rId23" Type="http://schemas.openxmlformats.org/officeDocument/2006/relationships/hyperlink" Target="https://nypost.com/2026/01/08/real-estate/tech-titans-leaving-california-for-florida-over-billionaire-tax/" TargetMode="External"/><Relationship Id="rId26" Type="http://schemas.openxmlformats.org/officeDocument/2006/relationships/hyperlink" Target="https://www.finance-monthly.com/antony-resslers-net-worth-2025-billionaire-financier-sports-owner-and-philanthropist/" TargetMode="External"/><Relationship Id="rId25" Type="http://schemas.openxmlformats.org/officeDocument/2006/relationships/hyperlink" Target="https://fortune.com/2024/07/13/laurene-powell-jobs-buys-mansion-san-francisco-billionaires-row-70-million-record-high/" TargetMode="External"/><Relationship Id="rId28" Type="http://schemas.openxmlformats.org/officeDocument/2006/relationships/hyperlink" Target="https://www.yahoo.com/entertainment/billionaire-riley-bechtel-pays-record-201404351.html" TargetMode="External"/><Relationship Id="rId27" Type="http://schemas.openxmlformats.org/officeDocument/2006/relationships/hyperlink" Target="https://www.finance-monthly.com/antony-resslers-net-worth-2025-billionaire-financier-sports-owner-and-philanthropist/" TargetMode="External"/><Relationship Id="rId29" Type="http://schemas.openxmlformats.org/officeDocument/2006/relationships/hyperlink" Target="https://www.yahoo.com/entertainment/billionaire-riley-bechtel-pays-record-201404351.html" TargetMode="External"/><Relationship Id="rId11" Type="http://schemas.openxmlformats.org/officeDocument/2006/relationships/hyperlink" Target="https://robbreport.com/shelter/celebrity-homes/lists/eric-schmidt-property-portfolio-1236832435/" TargetMode="External"/><Relationship Id="rId10" Type="http://schemas.openxmlformats.org/officeDocument/2006/relationships/hyperlink" Target="https://uk.finance.yahoo.com/news/nvidia-jensen-huang-perfectly-fine-170800688.html" TargetMode="External"/><Relationship Id="rId13" Type="http://schemas.openxmlformats.org/officeDocument/2006/relationships/hyperlink" Target="https://www.urbansplatter.com/2024/06/henry-samueli-house-the-california-dwelling/" TargetMode="External"/><Relationship Id="rId12" Type="http://schemas.openxmlformats.org/officeDocument/2006/relationships/hyperlink" Target="https://www.urbansplatter.com/2024/06/henry-samueli-house-the-california-dwelling/" TargetMode="External"/><Relationship Id="rId15" Type="http://schemas.openxmlformats.org/officeDocument/2006/relationships/hyperlink" Target="https://www.forbes.com/sites/tylerroush/2025/12/27/possible-california-wealth-tax-causes-billionaire-freakout-page-thiel-threaten-to-leave/" TargetMode="External"/><Relationship Id="rId14" Type="http://schemas.openxmlformats.org/officeDocument/2006/relationships/hyperlink" Target="https://labusinessjournal.com/technology/billionaire-peter-thiel-moving-los-angeles/" TargetMode="External"/><Relationship Id="rId17" Type="http://schemas.openxmlformats.org/officeDocument/2006/relationships/hyperlink" Target="https://hauteliving.com/2010/01/haute-estate-19-8-million-newport-coast-mansion/18762/" TargetMode="External"/><Relationship Id="rId16" Type="http://schemas.openxmlformats.org/officeDocument/2006/relationships/hyperlink" Target="https://www.dailymail.co.uk/sport/nba/article-12947653/Memphis-Grizzlies-billionaire-owner-Robert-Pena-Star-Island-arena.html" TargetMode="External"/><Relationship Id="rId19" Type="http://schemas.openxmlformats.org/officeDocument/2006/relationships/hyperlink" Target="https://labusinessjournal.com/special-editions/wealthiest-angelenos/wealthiest-2023/10-eric-smidt/" TargetMode="External"/><Relationship Id="rId18" Type="http://schemas.openxmlformats.org/officeDocument/2006/relationships/hyperlink" Target="https://hauteliving.com/2010/01/haute-estate-19-8-million-newport-coast-mansion/18762/" TargetMode="External"/><Relationship Id="rId84" Type="http://schemas.openxmlformats.org/officeDocument/2006/relationships/hyperlink" Target="https://www.homes.com/property/2324-pacific-ave-san-francisco-ca/qpzresp8fbygw/" TargetMode="External"/><Relationship Id="rId83" Type="http://schemas.openxmlformats.org/officeDocument/2006/relationships/hyperlink" Target="https://www.homes.com/property/2324-pacific-ave-san-francisco-ca/qpzresp8fbygw/" TargetMode="External"/><Relationship Id="rId86" Type="http://schemas.openxmlformats.org/officeDocument/2006/relationships/hyperlink" Target="https://www.homes.com/property/429-elizabeth-st-san-francisco-ca/xpxfwnhw0x4kw/" TargetMode="External"/><Relationship Id="rId85" Type="http://schemas.openxmlformats.org/officeDocument/2006/relationships/hyperlink" Target="http://homes.com/" TargetMode="External"/><Relationship Id="rId88" Type="http://schemas.openxmlformats.org/officeDocument/2006/relationships/hyperlink" Target="http://homes.com/" TargetMode="External"/><Relationship Id="rId150" Type="http://schemas.openxmlformats.org/officeDocument/2006/relationships/hyperlink" Target="https://www.homes.com/property/33-16th-st-hermosa-beach-ca/01q976qwnm5z2/" TargetMode="External"/><Relationship Id="rId87" Type="http://schemas.openxmlformats.org/officeDocument/2006/relationships/hyperlink" Target="https://www.homes.com/property/429-elizabeth-st-san-francisco-ca/xpxfwnhw0x4kw/" TargetMode="External"/><Relationship Id="rId89" Type="http://schemas.openxmlformats.org/officeDocument/2006/relationships/hyperlink" Target="https://www.homes.com/property/27161-w-fremont-rd-los-altos-hills-ca/yneqges0z8j44/" TargetMode="External"/><Relationship Id="rId80" Type="http://schemas.openxmlformats.org/officeDocument/2006/relationships/hyperlink" Target="https://www.yahoo.com/entertainment/twitter-ceo-jack-dorsey-scoops-011751538.html" TargetMode="External"/><Relationship Id="rId82" Type="http://schemas.openxmlformats.org/officeDocument/2006/relationships/hyperlink" Target="http://homes.com/" TargetMode="External"/><Relationship Id="rId81" Type="http://schemas.openxmlformats.org/officeDocument/2006/relationships/hyperlink" Target="https://www.homes.com/property/34-maple-st-san-francisco-ca/83sknmj9zbck7/" TargetMode="External"/><Relationship Id="rId1" Type="http://schemas.openxmlformats.org/officeDocument/2006/relationships/hyperlink" Target="https://elmundomiami.com/economy/larry-page-invests-173-4-million-in-the-miami-real-estate-market/" TargetMode="External"/><Relationship Id="rId2" Type="http://schemas.openxmlformats.org/officeDocument/2006/relationships/hyperlink" Target="https://www.businessinsider.com/larry-page-leave-california-wealth-billionaire-tax-koop-google-2026-1" TargetMode="External"/><Relationship Id="rId3" Type="http://schemas.openxmlformats.org/officeDocument/2006/relationships/hyperlink" Target="https://sfstandard.com/2026/01/05/larry-ellison-san-francisco-home-sale/" TargetMode="External"/><Relationship Id="rId149" Type="http://schemas.openxmlformats.org/officeDocument/2006/relationships/hyperlink" Target="http://homes.com/" TargetMode="External"/><Relationship Id="rId4" Type="http://schemas.openxmlformats.org/officeDocument/2006/relationships/hyperlink" Target="https://www.sfchronicle.com/california/article/larry-page-larry-ellison-california-wealth-tax-21281843.php" TargetMode="External"/><Relationship Id="rId148" Type="http://schemas.openxmlformats.org/officeDocument/2006/relationships/hyperlink" Target="https://www.homes.com/property/1162-tower-rd-beverly-hills-ca/qnh4f481ptw1y/" TargetMode="External"/><Relationship Id="rId9" Type="http://schemas.openxmlformats.org/officeDocument/2006/relationships/hyperlink" Target="https://www.foxbusiness.com/lifestyle/nvidias-ceo-extensive-rich-real-estate-portfolio" TargetMode="External"/><Relationship Id="rId143" Type="http://schemas.openxmlformats.org/officeDocument/2006/relationships/hyperlink" Target="https://www.ocregister.com/2018/07/12/pimco-founder-bill-gross-buys-oceanfront-laguna-beach-home-for-35-8-million/" TargetMode="External"/><Relationship Id="rId142" Type="http://schemas.openxmlformats.org/officeDocument/2006/relationships/hyperlink" Target="https://brentwoodnewsla.com/billionaire-orthopedic-surgeon-buys-23-9-million-brentwood-mansion/" TargetMode="External"/><Relationship Id="rId141" Type="http://schemas.openxmlformats.org/officeDocument/2006/relationships/hyperlink" Target="https://therealdeal.com/la/2023/07/26/malibu-home-of-milwaukee-brewers-owner-goes-into-contract-for-25m/" TargetMode="External"/><Relationship Id="rId140" Type="http://schemas.openxmlformats.org/officeDocument/2006/relationships/hyperlink" Target="https://www.realtor.com/news/celebrity-real-estate/kim-kardashian-buys-hidden-hills-home-kanye-west/" TargetMode="External"/><Relationship Id="rId5" Type="http://schemas.openxmlformats.org/officeDocument/2006/relationships/hyperlink" Target="https://www.aol.com/news/google-cofounders-sergey-brin-larry-195211174.html" TargetMode="External"/><Relationship Id="rId147" Type="http://schemas.openxmlformats.org/officeDocument/2006/relationships/hyperlink" Target="http://homes.com/" TargetMode="External"/><Relationship Id="rId6" Type="http://schemas.openxmlformats.org/officeDocument/2006/relationships/hyperlink" Target="https://www.realtor.com/news/celebrity-real-estate/mark-zuckerberg-palo-alto-home-fury-neighbors/" TargetMode="External"/><Relationship Id="rId146" Type="http://schemas.openxmlformats.org/officeDocument/2006/relationships/hyperlink" Target="https://www.homes.com/property/3456-washington-st-san-francisco-ca/5d1del25rt9yp/" TargetMode="External"/><Relationship Id="rId7" Type="http://schemas.openxmlformats.org/officeDocument/2006/relationships/hyperlink" Target="https://robbreport.com/shelter/celebrity-homes/mark-zuckerberg-property-portfolio-1236712447/" TargetMode="External"/><Relationship Id="rId145" Type="http://schemas.openxmlformats.org/officeDocument/2006/relationships/hyperlink" Target="https://www.homes.com/property/144-monte-carlo-dr-laguna-beach-ca/xg2w65bmqx27x/" TargetMode="External"/><Relationship Id="rId8" Type="http://schemas.openxmlformats.org/officeDocument/2006/relationships/hyperlink" Target="https://www.yahoo.com/lifestyle/articles/3-most-expensive-properties-nvidia-115457861.html" TargetMode="External"/><Relationship Id="rId144" Type="http://schemas.openxmlformats.org/officeDocument/2006/relationships/hyperlink" Target="https://buffalonews.com/entertainment/arts-and-theatre/jeffrey-gundlach-the-man-behind-the-millions/article_3ac395ee-59c1-5659-89f9-8d1bf6e75a89.html" TargetMode="External"/><Relationship Id="rId73" Type="http://schemas.openxmlformats.org/officeDocument/2006/relationships/hyperlink" Target="http://homes.com/" TargetMode="External"/><Relationship Id="rId72" Type="http://schemas.openxmlformats.org/officeDocument/2006/relationships/hyperlink" Target="https://www.homes.com/property/9491-sunset-blvd-beverly-hills-ca/sw2h7klpb942m/" TargetMode="External"/><Relationship Id="rId75" Type="http://schemas.openxmlformats.org/officeDocument/2006/relationships/hyperlink" Target="https://www.homes.com/property/9491-sunset-blvd-beverly-hills-ca/sw2h7klpb942m/" TargetMode="External"/><Relationship Id="rId74" Type="http://schemas.openxmlformats.org/officeDocument/2006/relationships/hyperlink" Target="https://www.homes.com/property/9491-sunset-blvd-beverly-hills-ca/sw2h7klpb942m/" TargetMode="External"/><Relationship Id="rId77" Type="http://schemas.openxmlformats.org/officeDocument/2006/relationships/hyperlink" Target="https://www.celebritynetworth.com/richest-businessmen/ceos/reed-hastings-net-worth/" TargetMode="External"/><Relationship Id="rId76" Type="http://schemas.openxmlformats.org/officeDocument/2006/relationships/hyperlink" Target="https://www.marinij.com/2023/07/29/george-lucas-sues-to-secure-san-anselmo-parcel-ownership/" TargetMode="External"/><Relationship Id="rId79" Type="http://schemas.openxmlformats.org/officeDocument/2006/relationships/hyperlink" Target="https://nypost.com/2026/01/08/real-estate/tech-titans-leaving-california-for-florida-over-billionaire-tax/" TargetMode="External"/><Relationship Id="rId78" Type="http://schemas.openxmlformats.org/officeDocument/2006/relationships/hyperlink" Target="https://www.celebritynetworth.com/richest-businessmen/ceos/reed-hastings-net-worth/" TargetMode="External"/><Relationship Id="rId71" Type="http://schemas.openxmlformats.org/officeDocument/2006/relationships/hyperlink" Target="https://www.homes.com/property/9491-sunset-blvd-beverly-hills-ca/sw2h7klpb942m/" TargetMode="External"/><Relationship Id="rId70" Type="http://schemas.openxmlformats.org/officeDocument/2006/relationships/hyperlink" Target="http://celebritynetworth.com/" TargetMode="External"/><Relationship Id="rId139" Type="http://schemas.openxmlformats.org/officeDocument/2006/relationships/hyperlink" Target="https://www.celebritynetworth.com/articles/celebrity-homes/marc-andreessen-just-paid-177-million-for-a-seven-acre-malibu-estate-the-second-most-expensive-home-sold-in-us-history/" TargetMode="External"/><Relationship Id="rId138" Type="http://schemas.openxmlformats.org/officeDocument/2006/relationships/hyperlink" Target="https://www.wsj.com/real-estate/luxury-homes/johnny-carsons-longtime-malibu-home-lists-for-110-million-a9331324" TargetMode="External"/><Relationship Id="rId137" Type="http://schemas.openxmlformats.org/officeDocument/2006/relationships/hyperlink" Target="https://www.forbes.com/sites/brianbushard/2024/07/17/billionaire-sam-altman-claims-27-million-san-francisco-mansion-is-a-lemon/" TargetMode="External"/><Relationship Id="rId132" Type="http://schemas.openxmlformats.org/officeDocument/2006/relationships/hyperlink" Target="https://www.forbes.com/sites/emmareynolds/2022/03/09/fashion-nova-ceo-richard-saghian-buys-the-one-megamansion-for-141-million/" TargetMode="External"/><Relationship Id="rId131" Type="http://schemas.openxmlformats.org/officeDocument/2006/relationships/hyperlink" Target="http://homes.com/" TargetMode="External"/><Relationship Id="rId130" Type="http://schemas.openxmlformats.org/officeDocument/2006/relationships/hyperlink" Target="https://www.homes.com/property/2121-webster-st-san-francisco-ca-unit-ph3/0sh6ewt66bwhf/" TargetMode="External"/><Relationship Id="rId136" Type="http://schemas.openxmlformats.org/officeDocument/2006/relationships/hyperlink" Target="http://homes.com/" TargetMode="External"/><Relationship Id="rId135" Type="http://schemas.openxmlformats.org/officeDocument/2006/relationships/hyperlink" Target="https://www.homes.com/property/40-minoca-rd-portola-valley-ca/7q7r3jf36ed8k/" TargetMode="External"/><Relationship Id="rId134" Type="http://schemas.openxmlformats.org/officeDocument/2006/relationships/hyperlink" Target="https://eliteagent.com/jennifer-lopez-takes-a-price-cut-on-bel-air-home/" TargetMode="External"/><Relationship Id="rId133" Type="http://schemas.openxmlformats.org/officeDocument/2006/relationships/hyperlink" Target="https://www.celebritynetworth.com/richest-businessmen/ceos/alec-gores/" TargetMode="External"/><Relationship Id="rId62" Type="http://schemas.openxmlformats.org/officeDocument/2006/relationships/hyperlink" Target="https://www.homes.com/property/20-willow-rd-menlo-park-ca-unit-8/hbwec8jc2rsrg/" TargetMode="External"/><Relationship Id="rId61" Type="http://schemas.openxmlformats.org/officeDocument/2006/relationships/hyperlink" Target="https://www.bloomberg.com/news/articles/2026-01-08/california-wealth-tax-threat-pushes-billionaires-to-texas-florida" TargetMode="External"/><Relationship Id="rId64" Type="http://schemas.openxmlformats.org/officeDocument/2006/relationships/hyperlink" Target="https://xabisinc.com/blog/rick-carusos-net-worth-the-secrets-behind-his-real-estate-success/" TargetMode="External"/><Relationship Id="rId63" Type="http://schemas.openxmlformats.org/officeDocument/2006/relationships/hyperlink" Target="http://homes.com/" TargetMode="External"/><Relationship Id="rId66" Type="http://schemas.openxmlformats.org/officeDocument/2006/relationships/hyperlink" Target="https://www.homes.com/property/190-n-lafayette-st-tracy-ca/x6xzt2lw9j9cx/" TargetMode="External"/><Relationship Id="rId65" Type="http://schemas.openxmlformats.org/officeDocument/2006/relationships/hyperlink" Target="https://www.celebritynetworth.com/richest-businessmen/richest-billionaires/rick-caruso-net-worth/" TargetMode="External"/><Relationship Id="rId68" Type="http://schemas.openxmlformats.org/officeDocument/2006/relationships/hyperlink" Target="http://redfin.com/" TargetMode="External"/><Relationship Id="rId67" Type="http://schemas.openxmlformats.org/officeDocument/2006/relationships/hyperlink" Target="http://homes.com/" TargetMode="External"/><Relationship Id="rId60" Type="http://schemas.openxmlformats.org/officeDocument/2006/relationships/hyperlink" Target="http://homes.com/" TargetMode="External"/><Relationship Id="rId165" Type="http://schemas.openxmlformats.org/officeDocument/2006/relationships/hyperlink" Target="http://homes.com/" TargetMode="External"/><Relationship Id="rId69" Type="http://schemas.openxmlformats.org/officeDocument/2006/relationships/hyperlink" Target="https://www.celebritynetworth.com/articles/celebrity-homes/patrick-soon-shiongs-house-brentwood-billionaire-doctor-demolished-seven-houses-build-one-insane-mega-property/" TargetMode="External"/><Relationship Id="rId164" Type="http://schemas.openxmlformats.org/officeDocument/2006/relationships/hyperlink" Target="https://www.homes.com/property/12989-chalon-rd-los-angeles-ca/vzh93nfhkznsx/" TargetMode="External"/><Relationship Id="rId163" Type="http://schemas.openxmlformats.org/officeDocument/2006/relationships/hyperlink" Target="https://andreaselsenhans.com/norman-lear-finds-buyer-for-longtime-los-angeles-estate/" TargetMode="External"/><Relationship Id="rId162" Type="http://schemas.openxmlformats.org/officeDocument/2006/relationships/hyperlink" Target="https://nypost.com/2025/11/20/sports/see-photos-of-lebron-james-37-million-beverly-hills-home/" TargetMode="External"/><Relationship Id="rId169" Type="http://schemas.openxmlformats.org/officeDocument/2006/relationships/drawing" Target="../drawings/drawing3.xml"/><Relationship Id="rId168" Type="http://schemas.openxmlformats.org/officeDocument/2006/relationships/hyperlink" Target="https://www.homes.com/property/50-blue-heron-irvine-ca/mq2wf6e3eegw4/" TargetMode="External"/><Relationship Id="rId167" Type="http://schemas.openxmlformats.org/officeDocument/2006/relationships/hyperlink" Target="http://homes.com/" TargetMode="External"/><Relationship Id="rId166" Type="http://schemas.openxmlformats.org/officeDocument/2006/relationships/hyperlink" Target="https://www.homes.com/property/320-kellogg-ave-palo-alto-ca/98lwzz13kxwmq/" TargetMode="External"/><Relationship Id="rId51" Type="http://schemas.openxmlformats.org/officeDocument/2006/relationships/hyperlink" Target="https://www.bloomberg.com/news/articles/2026-01-08/california-wealth-tax-threat-pushes-billionaires-to-texas-florida" TargetMode="External"/><Relationship Id="rId50" Type="http://schemas.openxmlformats.org/officeDocument/2006/relationships/hyperlink" Target="https://blockshopper.com/ca/san-francisco-county/san-francisco/property/0953006/2626-vallejo-street" TargetMode="External"/><Relationship Id="rId53" Type="http://schemas.openxmlformats.org/officeDocument/2006/relationships/hyperlink" Target="https://www.homes.com/property/10051-valley-spring-ln-toluca-lake-ca/kd8ylmg68cld1/" TargetMode="External"/><Relationship Id="rId52" Type="http://schemas.openxmlformats.org/officeDocument/2006/relationships/hyperlink" Target="https://www.homes.com/property/10051-valley-spring-ln-toluca-lake-ca/kd8ylmg68cld1/" TargetMode="External"/><Relationship Id="rId55" Type="http://schemas.openxmlformats.org/officeDocument/2006/relationships/hyperlink" Target="https://www.forbes.com/sites/trulia/2014/04/04/las-super-mansion-fleur-de-lys-sells-for-a-record-breaking-102-million/" TargetMode="External"/><Relationship Id="rId161" Type="http://schemas.openxmlformats.org/officeDocument/2006/relationships/hyperlink" Target="https://www.celebritynetworth.com/richest-businessmen/ceos/marissa-mayer-net-worth/" TargetMode="External"/><Relationship Id="rId54" Type="http://schemas.openxmlformats.org/officeDocument/2006/relationships/hyperlink" Target="http://homes.com/" TargetMode="External"/><Relationship Id="rId160" Type="http://schemas.openxmlformats.org/officeDocument/2006/relationships/hyperlink" Target="http://homes.com/" TargetMode="External"/><Relationship Id="rId57" Type="http://schemas.openxmlformats.org/officeDocument/2006/relationships/hyperlink" Target="https://www.finance-monthly.com/steven-spielbergs-net-worth-9-5-billion-in-2025/" TargetMode="External"/><Relationship Id="rId56" Type="http://schemas.openxmlformats.org/officeDocument/2006/relationships/hyperlink" Target="https://www.finance-monthly.com/steven-spielbergs-net-worth-9-5-billion-in-2025/" TargetMode="External"/><Relationship Id="rId159" Type="http://schemas.openxmlformats.org/officeDocument/2006/relationships/hyperlink" Target="https://www.homes.com/property/2793-glorietta-cir-santa-clara-ca/8fmm2ykrfp59c/" TargetMode="External"/><Relationship Id="rId59" Type="http://schemas.openxmlformats.org/officeDocument/2006/relationships/hyperlink" Target="https://www.homes.com/property/376-mountain-home-rd-woodside-ca/p6sh3hp6plvk6/" TargetMode="External"/><Relationship Id="rId154" Type="http://schemas.openxmlformats.org/officeDocument/2006/relationships/hyperlink" Target="http://homes.com/" TargetMode="External"/><Relationship Id="rId58" Type="http://schemas.openxmlformats.org/officeDocument/2006/relationships/hyperlink" Target="https://www.homes.com/property/376-mountain-home-rd-woodside-ca/p6sh3hp6plvk6/" TargetMode="External"/><Relationship Id="rId153" Type="http://schemas.openxmlformats.org/officeDocument/2006/relationships/hyperlink" Target="https://www.homes.com/property/12-beverly-park-beverly-hills-ca/e5yt4yzd0p2bz/" TargetMode="External"/><Relationship Id="rId152" Type="http://schemas.openxmlformats.org/officeDocument/2006/relationships/hyperlink" Target="https://timesofindia.indiatimes.com/etimes/trending/sundar-pichais-journey-from-humble-beginnings-to-google-ceo-and-a-40-million-california-mansion/articleshow/113258369.cms" TargetMode="External"/><Relationship Id="rId151" Type="http://schemas.openxmlformats.org/officeDocument/2006/relationships/hyperlink" Target="http://homes.com/" TargetMode="External"/><Relationship Id="rId158" Type="http://schemas.openxmlformats.org/officeDocument/2006/relationships/hyperlink" Target="http://homes.com/" TargetMode="External"/><Relationship Id="rId157" Type="http://schemas.openxmlformats.org/officeDocument/2006/relationships/hyperlink" Target="https://www.homes.com/property/1547-forge-rd-san-mateo-ca/wtmg59xeew5jg/" TargetMode="External"/><Relationship Id="rId156" Type="http://schemas.openxmlformats.org/officeDocument/2006/relationships/hyperlink" Target="https://www.wsj.com/real-estate/luxury-homes/billionaire-ai-co-founder-lucy-guo-pays-nearly-30-million-for-l-a-spec-house-9da5120f" TargetMode="External"/><Relationship Id="rId155" Type="http://schemas.openxmlformats.org/officeDocument/2006/relationships/hyperlink" Target="https://www.celebritynetworth.com/richest-businessmen/ceos/mark-pincus-net-worth/" TargetMode="External"/><Relationship Id="rId107" Type="http://schemas.openxmlformats.org/officeDocument/2006/relationships/hyperlink" Target="https://www.homes.com/property/517-alta-ave-santa-monica-ca/vq4nqr9enjgpr/" TargetMode="External"/><Relationship Id="rId106" Type="http://schemas.openxmlformats.org/officeDocument/2006/relationships/hyperlink" Target="https://therealdeal.com/la/2017/02/21/alo-yoga-founder-buys-beverly-hills-house-from-bebe-founder-for-30m/" TargetMode="External"/><Relationship Id="rId105" Type="http://schemas.openxmlformats.org/officeDocument/2006/relationships/hyperlink" Target="http://homes.com/" TargetMode="External"/><Relationship Id="rId104" Type="http://schemas.openxmlformats.org/officeDocument/2006/relationships/hyperlink" Target="https://www.homes.com/property/4512-lin-gate-st-pleasanton-ca/jfjbyjdmsmcgx/" TargetMode="External"/><Relationship Id="rId109" Type="http://schemas.openxmlformats.org/officeDocument/2006/relationships/hyperlink" Target="https://www.homes.com/property/13685-la-paloma-rd-los-altos-hills-ca/fmywnqbsb44wd/" TargetMode="External"/><Relationship Id="rId108" Type="http://schemas.openxmlformats.org/officeDocument/2006/relationships/hyperlink" Target="http://homes.com/" TargetMode="External"/><Relationship Id="rId103" Type="http://schemas.openxmlformats.org/officeDocument/2006/relationships/hyperlink" Target="https://www.yahoo.com/entertainment/billionaire-behdad-eghbali-buys-21-224623408.html" TargetMode="External"/><Relationship Id="rId102" Type="http://schemas.openxmlformats.org/officeDocument/2006/relationships/hyperlink" Target="https://www.latimes.com/business/real-estate/story/2020-08-10/quibi-chief-meg-whitman-lists-west-hollywood-condo-for-6-5-million" TargetMode="External"/><Relationship Id="rId101" Type="http://schemas.openxmlformats.org/officeDocument/2006/relationships/hyperlink" Target="https://www.latimes.com/business/real-estate/story/2020-08-10/quibi-chief-meg-whitman-lists-west-hollywood-condo-for-6-5-million" TargetMode="External"/><Relationship Id="rId100" Type="http://schemas.openxmlformats.org/officeDocument/2006/relationships/hyperlink" Target="https://palisadesnews.com/private-equity-billionaire-jose-e-feliciano-buys-50-palisades-million-mansion-narrowly-avoids-new-mansion-tax/" TargetMode="External"/><Relationship Id="rId129" Type="http://schemas.openxmlformats.org/officeDocument/2006/relationships/hyperlink" Target="https://www.yahoo.com/entertainment/altair-ceo-james-scapa-drops-151321244.html" TargetMode="External"/><Relationship Id="rId128" Type="http://schemas.openxmlformats.org/officeDocument/2006/relationships/hyperlink" Target="https://www.mansionglobal.com/articles/tom-ford-drops-39m-on-a-fashionable-los-angeles-home-48537" TargetMode="External"/><Relationship Id="rId127" Type="http://schemas.openxmlformats.org/officeDocument/2006/relationships/hyperlink" Target="https://www.celebritynetworth.com/richest-businessmen/business-executives/joe-lacob-net-worth/" TargetMode="External"/><Relationship Id="rId126" Type="http://schemas.openxmlformats.org/officeDocument/2006/relationships/hyperlink" Target="https://www.celebritynetworth.com/richest-businessmen/business-executives/sheryl-sandberg-net-worth/" TargetMode="External"/><Relationship Id="rId121" Type="http://schemas.openxmlformats.org/officeDocument/2006/relationships/hyperlink" Target="https://www.celebritynetworth.com/articles/celebrity-homes/homeless-billionaire-nicolas-berggruen-is-no-longer-homeless-with-63-million-hearst-estate-purchase/" TargetMode="External"/><Relationship Id="rId120" Type="http://schemas.openxmlformats.org/officeDocument/2006/relationships/hyperlink" Target="https://www.latimes.com/business/realestate/hot-property/la-fi-hotprop-ellen-degeneres-20140707-story.html" TargetMode="External"/><Relationship Id="rId125" Type="http://schemas.openxmlformats.org/officeDocument/2006/relationships/hyperlink" Target="https://www.mansionglobal.com/articles/investor-bruce-karsh-buys-grey-estate-in-l-a-for-68-82m-97050" TargetMode="External"/><Relationship Id="rId124" Type="http://schemas.openxmlformats.org/officeDocument/2006/relationships/hyperlink" Target="https://www.architecturaldigest.com/story/billionaire-snapchat-ceo-evan-spiegel-model-miranda-kerr-la-home" TargetMode="External"/><Relationship Id="rId123" Type="http://schemas.openxmlformats.org/officeDocument/2006/relationships/hyperlink" Target="http://homes.com/" TargetMode="External"/><Relationship Id="rId122" Type="http://schemas.openxmlformats.org/officeDocument/2006/relationships/hyperlink" Target="https://www.homes.com/property/200-sea-cliff-ave-san-francisco-ca/6lbnfvv2v66d3/" TargetMode="External"/><Relationship Id="rId95" Type="http://schemas.openxmlformats.org/officeDocument/2006/relationships/hyperlink" Target="https://kanebridgenews.com/one-of-americas-biggest-homes-hits-the-market-for-195-million/" TargetMode="External"/><Relationship Id="rId94" Type="http://schemas.openxmlformats.org/officeDocument/2006/relationships/hyperlink" Target="https://kanebridgenews.com/one-of-americas-biggest-homes-hits-the-market-for-195-million/" TargetMode="External"/><Relationship Id="rId97" Type="http://schemas.openxmlformats.org/officeDocument/2006/relationships/hyperlink" Target="https://www.homes.com/property/808-n-beverly-dr-beverly-hills-ca/lgnr8czbm0szq/" TargetMode="External"/><Relationship Id="rId96" Type="http://schemas.openxmlformats.org/officeDocument/2006/relationships/hyperlink" Target="https://www.homes.com/property/808-n-beverly-dr-beverly-hills-ca/lgnr8czbm0szq/" TargetMode="External"/><Relationship Id="rId99" Type="http://schemas.openxmlformats.org/officeDocument/2006/relationships/hyperlink" Target="https://palisadesnews.com/private-equity-billionaire-jose-e-feliciano-buys-50-palisades-million-mansion-narrowly-avoids-new-mansion-tax/" TargetMode="External"/><Relationship Id="rId98" Type="http://schemas.openxmlformats.org/officeDocument/2006/relationships/hyperlink" Target="http://homes.com/" TargetMode="External"/><Relationship Id="rId91" Type="http://schemas.openxmlformats.org/officeDocument/2006/relationships/hyperlink" Target="https://www.homes.com/property/3340-jackson-st-san-francisco-ca/lemwwpgc5tfrh/" TargetMode="External"/><Relationship Id="rId90" Type="http://schemas.openxmlformats.org/officeDocument/2006/relationships/hyperlink" Target="http://homes.com/" TargetMode="External"/><Relationship Id="rId93" Type="http://schemas.openxmlformats.org/officeDocument/2006/relationships/hyperlink" Target="http://homes.com/" TargetMode="External"/><Relationship Id="rId92" Type="http://schemas.openxmlformats.org/officeDocument/2006/relationships/hyperlink" Target="https://www.forbes.com/sites/forbeswealthteam/2023/08/26/when-10-homes-isnt-enough-which-billionaires-own-the-most-properties-larry-ellison-jeff-bezos-oprah-winfrey/" TargetMode="External"/><Relationship Id="rId118" Type="http://schemas.openxmlformats.org/officeDocument/2006/relationships/hyperlink" Target="https://www.mansionglobal.com/articles/mighty-morphin-power-rangers-creator-haim-sabans-malibu-beach-house-gets-a-7-5-million-discount-3b235ba0" TargetMode="External"/><Relationship Id="rId117" Type="http://schemas.openxmlformats.org/officeDocument/2006/relationships/hyperlink" Target="https://socketsite.com/archives/2015/11/behind-the-28-5m-fixer-under-wraps-on-billionaires-row.html" TargetMode="External"/><Relationship Id="rId116" Type="http://schemas.openxmlformats.org/officeDocument/2006/relationships/hyperlink" Target="https://www.forbes.com/sites/chasewithorn/2026/01/15/los-angeles-billionaire-moves-to-nevada-after-california-threatens-to-tax-wealth/" TargetMode="External"/><Relationship Id="rId115" Type="http://schemas.openxmlformats.org/officeDocument/2006/relationships/hyperlink" Target="https://www.foxbusiness.com/politics/tech-billionaires-threaten-flee-california-over-proposed-5-wealth-tax" TargetMode="External"/><Relationship Id="rId119" Type="http://schemas.openxmlformats.org/officeDocument/2006/relationships/hyperlink" Target="https://www.realtor.com/news/celebrity-real-estate/oprah-winfrey-kamala-harris-homes/" TargetMode="External"/><Relationship Id="rId110" Type="http://schemas.openxmlformats.org/officeDocument/2006/relationships/hyperlink" Target="http://homes.com/" TargetMode="External"/><Relationship Id="rId114" Type="http://schemas.openxmlformats.org/officeDocument/2006/relationships/hyperlink" Target="https://www.forbes.com/sites/iainmartin/2024/07/22/billionaire-palmer-luckey-sues-contractor-after-being-trapped-in-his-mansions-car-elevator/" TargetMode="External"/><Relationship Id="rId113" Type="http://schemas.openxmlformats.org/officeDocument/2006/relationships/hyperlink" Target="https://www.forbes.com/sites/chasewithorn/2026/01/15/los-angeles-billionaire-moves-to-nevada-after-california-threatens-to-tax-wealth/" TargetMode="External"/><Relationship Id="rId112" Type="http://schemas.openxmlformats.org/officeDocument/2006/relationships/hyperlink" Target="https://therealdeal.com/la/2020/05/09/uber-buy-travis-kalanick-behind-43m-bel-air-purchase/" TargetMode="External"/><Relationship Id="rId111" Type="http://schemas.openxmlformats.org/officeDocument/2006/relationships/hyperlink" Target="https://www.yahoo.com/entertainment/whatsapp-co-founder-brian-acton-174840726.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omes.com/property/27450-pacific-coast-hwy-malibu-ca/gt8keb94hyyzn/" TargetMode="External"/><Relationship Id="rId42" Type="http://schemas.openxmlformats.org/officeDocument/2006/relationships/hyperlink" Target="https://www.forbes.com/sites/chasewithorn/2026/01/15/los-angeles-billionaire-moves-to-nevada-after-california-threatens-to-tax-wealth/" TargetMode="External"/><Relationship Id="rId41" Type="http://schemas.openxmlformats.org/officeDocument/2006/relationships/hyperlink" Target="http://homes.com/" TargetMode="External"/><Relationship Id="rId44" Type="http://schemas.openxmlformats.org/officeDocument/2006/relationships/hyperlink" Target="https://www.homes.com/property/1401-emerson-st-palo-alto-ca/znpl6z10qsgvy/" TargetMode="External"/><Relationship Id="rId43" Type="http://schemas.openxmlformats.org/officeDocument/2006/relationships/hyperlink" Target="https://www.homes.com/property/1401-emerson-st-palo-alto-ca/znpl6z10qsgvy/" TargetMode="External"/><Relationship Id="rId46" Type="http://schemas.openxmlformats.org/officeDocument/2006/relationships/hyperlink" Target="https://blockshopper.com/ca/san-francisco-county/san-francisco/property/0953006/2626-vallejo-street" TargetMode="External"/><Relationship Id="rId45" Type="http://schemas.openxmlformats.org/officeDocument/2006/relationships/hyperlink" Target="http://homes.com/" TargetMode="External"/><Relationship Id="rId48" Type="http://schemas.openxmlformats.org/officeDocument/2006/relationships/hyperlink" Target="https://www.bloomberg.com/news/articles/2026-01-08/california-wealth-tax-threat-pushes-billionaires-to-texas-florida" TargetMode="External"/><Relationship Id="rId47" Type="http://schemas.openxmlformats.org/officeDocument/2006/relationships/hyperlink" Target="https://blockshopper.com/ca/san-francisco-county/san-francisco/property/0953006/2626-vallejo-street" TargetMode="External"/><Relationship Id="rId49" Type="http://schemas.openxmlformats.org/officeDocument/2006/relationships/hyperlink" Target="https://www.homes.com/property/10051-valley-spring-ln-toluca-lake-ca/kd8ylmg68cld1/" TargetMode="External"/><Relationship Id="rId31" Type="http://schemas.openxmlformats.org/officeDocument/2006/relationships/hyperlink" Target="https://sfstandard.com/2025/09/09/chris-larsen-napa-home/" TargetMode="External"/><Relationship Id="rId30" Type="http://schemas.openxmlformats.org/officeDocument/2006/relationships/hyperlink" Target="https://www.celebritynetworth.com/richest-businessmen/richest-billionaires/douglas-leone-net-worth/" TargetMode="External"/><Relationship Id="rId33" Type="http://schemas.openxmlformats.org/officeDocument/2006/relationships/hyperlink" Target="https://www.urbansplatter.com/2022/05/brian-armstrong-house-the-los-angeles-mansion/" TargetMode="External"/><Relationship Id="rId32" Type="http://schemas.openxmlformats.org/officeDocument/2006/relationships/hyperlink" Target="https://docs.google.com/spreadsheets/d/1-d_IAr8tITUy_s8QmIzH-FLYoODzaBxNMWShu9W7IFk/edit?gid=1121030019" TargetMode="External"/><Relationship Id="rId35" Type="http://schemas.openxmlformats.org/officeDocument/2006/relationships/hyperlink" Target="https://therealdeal.com/la/2016/10/24/platinum-equity-ceo-buys-holmby-hills-spec-home-for-100m/" TargetMode="External"/><Relationship Id="rId34" Type="http://schemas.openxmlformats.org/officeDocument/2006/relationships/hyperlink" Target="https://www.urbansplatter.com/2022/05/brian-armstrong-house-the-los-angeles-mansion/" TargetMode="External"/><Relationship Id="rId37" Type="http://schemas.openxmlformats.org/officeDocument/2006/relationships/hyperlink" Target="https://www.yahoo.com/entertainment/twitter-ceo-jack-dorsey-scoops-011751538.html" TargetMode="External"/><Relationship Id="rId36" Type="http://schemas.openxmlformats.org/officeDocument/2006/relationships/hyperlink" Target="https://www.washingtonpost.com/technology/2026/01/19/california-wealth-tax-exodus/" TargetMode="External"/><Relationship Id="rId39" Type="http://schemas.openxmlformats.org/officeDocument/2006/relationships/hyperlink" Target="https://www.inman.com/2020/06/11/entertainment-mogul-david-geffen-buys-la-luxury-estate-for-68m/" TargetMode="External"/><Relationship Id="rId38" Type="http://schemas.openxmlformats.org/officeDocument/2006/relationships/hyperlink" Target="https://finance.yahoo.com/news/david-geffen-completes-68-million-192458970.html" TargetMode="External"/><Relationship Id="rId20" Type="http://schemas.openxmlformats.org/officeDocument/2006/relationships/hyperlink" Target="https://www.celebritynetworth.com/articles/billionaire-news/jan-koum-grew-up-on-food-stamps-and-now-owns-more-than-400-million-worth-of-california-real-estate/" TargetMode="External"/><Relationship Id="rId22" Type="http://schemas.openxmlformats.org/officeDocument/2006/relationships/hyperlink" Target="https://blockshopper.com/ca/san-mateo-county/atherton/property/070032440/260-atherton-avenue" TargetMode="External"/><Relationship Id="rId21" Type="http://schemas.openxmlformats.org/officeDocument/2006/relationships/hyperlink" Target="https://nypost.com/2026/01/08/real-estate/tech-titans-leaving-california-for-florida-over-billionaire-tax/" TargetMode="External"/><Relationship Id="rId24" Type="http://schemas.openxmlformats.org/officeDocument/2006/relationships/hyperlink" Target="https://www.finance-monthly.com/antony-resslers-net-worth-2025-billionaire-financier-sports-owner-and-philanthropist/" TargetMode="External"/><Relationship Id="rId23" Type="http://schemas.openxmlformats.org/officeDocument/2006/relationships/hyperlink" Target="https://fortune.com/2024/07/13/laurene-powell-jobs-buys-mansion-san-francisco-billionaires-row-70-million-record-high/" TargetMode="External"/><Relationship Id="rId26" Type="http://schemas.openxmlformats.org/officeDocument/2006/relationships/hyperlink" Target="https://www.yahoo.com/entertainment/billionaire-riley-bechtel-pays-record-201404351.html" TargetMode="External"/><Relationship Id="rId25" Type="http://schemas.openxmlformats.org/officeDocument/2006/relationships/hyperlink" Target="https://www.finance-monthly.com/antony-resslers-net-worth-2025-billionaire-financier-sports-owner-and-philanthropist/" TargetMode="External"/><Relationship Id="rId28" Type="http://schemas.openxmlformats.org/officeDocument/2006/relationships/hyperlink" Target="https://www.seattletimes.com/business/young-tech-millionaires-keeping-1-bedroom-lifestyle/" TargetMode="External"/><Relationship Id="rId27" Type="http://schemas.openxmlformats.org/officeDocument/2006/relationships/hyperlink" Target="https://www.yahoo.com/entertainment/billionaire-riley-bechtel-pays-record-201404351.html" TargetMode="External"/><Relationship Id="rId29" Type="http://schemas.openxmlformats.org/officeDocument/2006/relationships/hyperlink" Target="https://www.celebritynetworth.com/richest-businessmen/richest-billionaires/douglas-leone-net-worth/" TargetMode="External"/><Relationship Id="rId11" Type="http://schemas.openxmlformats.org/officeDocument/2006/relationships/hyperlink" Target="https://www.urbansplatter.com/2024/06/henry-samueli-house-the-california-dwelling/" TargetMode="External"/><Relationship Id="rId10" Type="http://schemas.openxmlformats.org/officeDocument/2006/relationships/hyperlink" Target="https://www.urbansplatter.com/2024/06/henry-samueli-house-the-california-dwelling/" TargetMode="External"/><Relationship Id="rId13" Type="http://schemas.openxmlformats.org/officeDocument/2006/relationships/hyperlink" Target="https://www.forbes.com/sites/tylerroush/2025/12/27/possible-california-wealth-tax-causes-billionaire-freakout-page-thiel-threaten-to-leave/" TargetMode="External"/><Relationship Id="rId12" Type="http://schemas.openxmlformats.org/officeDocument/2006/relationships/hyperlink" Target="https://labusinessjournal.com/technology/billionaire-peter-thiel-moving-los-angeles/" TargetMode="External"/><Relationship Id="rId15" Type="http://schemas.openxmlformats.org/officeDocument/2006/relationships/hyperlink" Target="https://hauteliving.com/2010/01/haute-estate-19-8-million-newport-coast-mansion/18762/" TargetMode="External"/><Relationship Id="rId14" Type="http://schemas.openxmlformats.org/officeDocument/2006/relationships/hyperlink" Target="https://www.dailymail.co.uk/sport/nba/article-12947653/Memphis-Grizzlies-billionaire-owner-Robert-Pena-Star-Island-arena.html" TargetMode="External"/><Relationship Id="rId17" Type="http://schemas.openxmlformats.org/officeDocument/2006/relationships/hyperlink" Target="https://labusinessjournal.com/special-editions/wealthiest-angelenos/wealthiest-2023/10-eric-smidt/" TargetMode="External"/><Relationship Id="rId16" Type="http://schemas.openxmlformats.org/officeDocument/2006/relationships/hyperlink" Target="https://hauteliving.com/2010/01/haute-estate-19-8-million-newport-coast-mansion/18762/" TargetMode="External"/><Relationship Id="rId19" Type="http://schemas.openxmlformats.org/officeDocument/2006/relationships/hyperlink" Target="https://www.celebritynetworth.com/articles/celebrity-homes/two-years-after-paying-100-million-for-a-malibu-mansion-whatsapp-founder-buys-the-house-next-door-for-87-million/" TargetMode="External"/><Relationship Id="rId18" Type="http://schemas.openxmlformats.org/officeDocument/2006/relationships/hyperlink" Target="https://blockshopper.com/ca/los-angeles-county/rolling-hills/property/7567015025/6-east-crest-road" TargetMode="External"/><Relationship Id="rId84" Type="http://schemas.openxmlformats.org/officeDocument/2006/relationships/hyperlink" Target="https://www.homes.com/property/429-elizabeth-st-san-francisco-ca/xpxfwnhw0x4kw/" TargetMode="External"/><Relationship Id="rId83" Type="http://schemas.openxmlformats.org/officeDocument/2006/relationships/hyperlink" Target="https://www.homes.com/property/429-elizabeth-st-san-francisco-ca/xpxfwnhw0x4kw/" TargetMode="External"/><Relationship Id="rId86" Type="http://schemas.openxmlformats.org/officeDocument/2006/relationships/hyperlink" Target="https://www.homes.com/property/27161-w-fremont-rd-los-altos-hills-ca/yneqges0z8j44/" TargetMode="External"/><Relationship Id="rId85" Type="http://schemas.openxmlformats.org/officeDocument/2006/relationships/hyperlink" Target="http://homes.com/" TargetMode="External"/><Relationship Id="rId88" Type="http://schemas.openxmlformats.org/officeDocument/2006/relationships/hyperlink" Target="https://www.homes.com/property/3340-jackson-st-san-francisco-ca/lemwwpgc5tfrh/" TargetMode="External"/><Relationship Id="rId150" Type="http://schemas.openxmlformats.org/officeDocument/2006/relationships/hyperlink" Target="https://www.homes.com/property/12-beverly-park-beverly-hills-ca/e5yt4yzd0p2bz/" TargetMode="External"/><Relationship Id="rId87" Type="http://schemas.openxmlformats.org/officeDocument/2006/relationships/hyperlink" Target="http://homes.com/" TargetMode="External"/><Relationship Id="rId89" Type="http://schemas.openxmlformats.org/officeDocument/2006/relationships/hyperlink" Target="https://www.forbes.com/sites/forbeswealthteam/2023/08/26/when-10-homes-isnt-enough-which-billionaires-own-the-most-properties-larry-ellison-jeff-bezos-oprah-winfrey/" TargetMode="External"/><Relationship Id="rId80" Type="http://schemas.openxmlformats.org/officeDocument/2006/relationships/hyperlink" Target="https://www.homes.com/property/2324-pacific-ave-san-francisco-ca/qpzresp8fbygw/" TargetMode="External"/><Relationship Id="rId82" Type="http://schemas.openxmlformats.org/officeDocument/2006/relationships/hyperlink" Target="http://homes.com/" TargetMode="External"/><Relationship Id="rId81" Type="http://schemas.openxmlformats.org/officeDocument/2006/relationships/hyperlink" Target="https://www.homes.com/property/2324-pacific-ave-san-francisco-ca/qpzresp8fbygw/" TargetMode="External"/><Relationship Id="rId1" Type="http://schemas.openxmlformats.org/officeDocument/2006/relationships/hyperlink" Target="https://elmundomiami.com/economy/larry-page-invests-173-4-million-in-the-miami-real-estate-market/" TargetMode="External"/><Relationship Id="rId2" Type="http://schemas.openxmlformats.org/officeDocument/2006/relationships/hyperlink" Target="https://www.businessinsider.com/larry-page-leave-california-wealth-billionaire-tax-koop-google-2026-1" TargetMode="External"/><Relationship Id="rId3" Type="http://schemas.openxmlformats.org/officeDocument/2006/relationships/hyperlink" Target="https://www.aol.com/news/google-cofounders-sergey-brin-larry-195211174.html" TargetMode="External"/><Relationship Id="rId149" Type="http://schemas.openxmlformats.org/officeDocument/2006/relationships/hyperlink" Target="https://timesofindia.indiatimes.com/etimes/trending/sundar-pichais-journey-from-humble-beginnings-to-google-ceo-and-a-40-million-california-mansion/articleshow/113258369.cms" TargetMode="External"/><Relationship Id="rId4" Type="http://schemas.openxmlformats.org/officeDocument/2006/relationships/hyperlink" Target="https://www.realtor.com/news/celebrity-real-estate/mark-zuckerberg-palo-alto-home-fury-neighbors/" TargetMode="External"/><Relationship Id="rId148" Type="http://schemas.openxmlformats.org/officeDocument/2006/relationships/hyperlink" Target="http://homes.com/" TargetMode="External"/><Relationship Id="rId9" Type="http://schemas.openxmlformats.org/officeDocument/2006/relationships/hyperlink" Target="https://robbreport.com/shelter/celebrity-homes/lists/eric-schmidt-property-portfolio-1236832435/" TargetMode="External"/><Relationship Id="rId143" Type="http://schemas.openxmlformats.org/officeDocument/2006/relationships/hyperlink" Target="https://www.homes.com/property/3456-washington-st-san-francisco-ca/5d1del25rt9yp/" TargetMode="External"/><Relationship Id="rId142" Type="http://schemas.openxmlformats.org/officeDocument/2006/relationships/hyperlink" Target="https://www.homes.com/property/144-monte-carlo-dr-laguna-beach-ca/xg2w65bmqx27x/" TargetMode="External"/><Relationship Id="rId141" Type="http://schemas.openxmlformats.org/officeDocument/2006/relationships/hyperlink" Target="https://buffalonews.com/entertainment/arts-and-theatre/jeffrey-gundlach-the-man-behind-the-millions/article_3ac395ee-59c1-5659-89f9-8d1bf6e75a89.html" TargetMode="External"/><Relationship Id="rId140" Type="http://schemas.openxmlformats.org/officeDocument/2006/relationships/hyperlink" Target="https://www.ocregister.com/2018/07/12/pimco-founder-bill-gross-buys-oceanfront-laguna-beach-home-for-35-8-million/" TargetMode="External"/><Relationship Id="rId5" Type="http://schemas.openxmlformats.org/officeDocument/2006/relationships/hyperlink" Target="https://robbreport.com/shelter/celebrity-homes/mark-zuckerberg-property-portfolio-1236712447/" TargetMode="External"/><Relationship Id="rId147" Type="http://schemas.openxmlformats.org/officeDocument/2006/relationships/hyperlink" Target="https://www.homes.com/property/33-16th-st-hermosa-beach-ca/01q976qwnm5z2/" TargetMode="External"/><Relationship Id="rId6" Type="http://schemas.openxmlformats.org/officeDocument/2006/relationships/hyperlink" Target="https://www.yahoo.com/lifestyle/articles/3-most-expensive-properties-nvidia-115457861.html" TargetMode="External"/><Relationship Id="rId146" Type="http://schemas.openxmlformats.org/officeDocument/2006/relationships/hyperlink" Target="http://homes.com/" TargetMode="External"/><Relationship Id="rId7" Type="http://schemas.openxmlformats.org/officeDocument/2006/relationships/hyperlink" Target="https://www.foxbusiness.com/lifestyle/nvidias-ceo-extensive-rich-real-estate-portfolio" TargetMode="External"/><Relationship Id="rId145" Type="http://schemas.openxmlformats.org/officeDocument/2006/relationships/hyperlink" Target="https://www.homes.com/property/1162-tower-rd-beverly-hills-ca/qnh4f481ptw1y/" TargetMode="External"/><Relationship Id="rId8" Type="http://schemas.openxmlformats.org/officeDocument/2006/relationships/hyperlink" Target="https://uk.finance.yahoo.com/news/nvidia-jensen-huang-perfectly-fine-170800688.html" TargetMode="External"/><Relationship Id="rId144" Type="http://schemas.openxmlformats.org/officeDocument/2006/relationships/hyperlink" Target="http://homes.com/" TargetMode="External"/><Relationship Id="rId73" Type="http://schemas.openxmlformats.org/officeDocument/2006/relationships/hyperlink" Target="https://www.marinij.com/2023/07/29/george-lucas-sues-to-secure-san-anselmo-parcel-ownership/" TargetMode="External"/><Relationship Id="rId72" Type="http://schemas.openxmlformats.org/officeDocument/2006/relationships/hyperlink" Target="https://www.homes.com/property/9491-sunset-blvd-beverly-hills-ca/sw2h7klpb942m/" TargetMode="External"/><Relationship Id="rId75" Type="http://schemas.openxmlformats.org/officeDocument/2006/relationships/hyperlink" Target="https://www.celebritynetworth.com/richest-businessmen/ceos/reed-hastings-net-worth/" TargetMode="External"/><Relationship Id="rId74" Type="http://schemas.openxmlformats.org/officeDocument/2006/relationships/hyperlink" Target="https://www.celebritynetworth.com/richest-businessmen/ceos/reed-hastings-net-worth/" TargetMode="External"/><Relationship Id="rId77" Type="http://schemas.openxmlformats.org/officeDocument/2006/relationships/hyperlink" Target="https://www.yahoo.com/entertainment/twitter-ceo-jack-dorsey-scoops-011751538.html" TargetMode="External"/><Relationship Id="rId76" Type="http://schemas.openxmlformats.org/officeDocument/2006/relationships/hyperlink" Target="https://nypost.com/2026/01/08/real-estate/tech-titans-leaving-california-for-florida-over-billionaire-tax/" TargetMode="External"/><Relationship Id="rId79" Type="http://schemas.openxmlformats.org/officeDocument/2006/relationships/hyperlink" Target="http://homes.com/" TargetMode="External"/><Relationship Id="rId78" Type="http://schemas.openxmlformats.org/officeDocument/2006/relationships/hyperlink" Target="https://www.homes.com/property/34-maple-st-san-francisco-ca/83sknmj9zbck7/" TargetMode="External"/><Relationship Id="rId71" Type="http://schemas.openxmlformats.org/officeDocument/2006/relationships/hyperlink" Target="https://www.homes.com/property/9491-sunset-blvd-beverly-hills-ca/sw2h7klpb942m/" TargetMode="External"/><Relationship Id="rId70" Type="http://schemas.openxmlformats.org/officeDocument/2006/relationships/hyperlink" Target="http://homes.com/" TargetMode="External"/><Relationship Id="rId139" Type="http://schemas.openxmlformats.org/officeDocument/2006/relationships/hyperlink" Target="https://brentwoodnewsla.com/billionaire-orthopedic-surgeon-buys-23-9-million-brentwood-mansion/" TargetMode="External"/><Relationship Id="rId138" Type="http://schemas.openxmlformats.org/officeDocument/2006/relationships/hyperlink" Target="https://therealdeal.com/la/2023/07/26/malibu-home-of-milwaukee-brewers-owner-goes-into-contract-for-25m/" TargetMode="External"/><Relationship Id="rId137" Type="http://schemas.openxmlformats.org/officeDocument/2006/relationships/hyperlink" Target="https://www.realtor.com/news/celebrity-real-estate/kim-kardashian-buys-hidden-hills-home-kanye-west/" TargetMode="External"/><Relationship Id="rId132" Type="http://schemas.openxmlformats.org/officeDocument/2006/relationships/hyperlink" Target="https://www.homes.com/property/40-minoca-rd-portola-valley-ca/7q7r3jf36ed8k/" TargetMode="External"/><Relationship Id="rId131" Type="http://schemas.openxmlformats.org/officeDocument/2006/relationships/hyperlink" Target="https://eliteagent.com/jennifer-lopez-takes-a-price-cut-on-bel-air-home/" TargetMode="External"/><Relationship Id="rId130" Type="http://schemas.openxmlformats.org/officeDocument/2006/relationships/hyperlink" Target="https://www.celebritynetworth.com/richest-businessmen/ceos/alec-gores/" TargetMode="External"/><Relationship Id="rId136" Type="http://schemas.openxmlformats.org/officeDocument/2006/relationships/hyperlink" Target="https://www.celebritynetworth.com/articles/celebrity-homes/marc-andreessen-just-paid-177-million-for-a-seven-acre-malibu-estate-the-second-most-expensive-home-sold-in-us-history/" TargetMode="External"/><Relationship Id="rId135" Type="http://schemas.openxmlformats.org/officeDocument/2006/relationships/hyperlink" Target="https://www.wsj.com/real-estate/luxury-homes/johnny-carsons-longtime-malibu-home-lists-for-110-million-a9331324" TargetMode="External"/><Relationship Id="rId134" Type="http://schemas.openxmlformats.org/officeDocument/2006/relationships/hyperlink" Target="https://www.forbes.com/sites/brianbushard/2024/07/17/billionaire-sam-altman-claims-27-million-san-francisco-mansion-is-a-lemon/" TargetMode="External"/><Relationship Id="rId133" Type="http://schemas.openxmlformats.org/officeDocument/2006/relationships/hyperlink" Target="http://homes.com/" TargetMode="External"/><Relationship Id="rId62" Type="http://schemas.openxmlformats.org/officeDocument/2006/relationships/hyperlink" Target="https://www.celebritynetworth.com/richest-businessmen/richest-billionaires/rick-caruso-net-worth/" TargetMode="External"/><Relationship Id="rId61" Type="http://schemas.openxmlformats.org/officeDocument/2006/relationships/hyperlink" Target="https://xabisinc.com/blog/rick-carusos-net-worth-the-secrets-behind-his-real-estate-success/" TargetMode="External"/><Relationship Id="rId64" Type="http://schemas.openxmlformats.org/officeDocument/2006/relationships/hyperlink" Target="http://homes.com/" TargetMode="External"/><Relationship Id="rId63" Type="http://schemas.openxmlformats.org/officeDocument/2006/relationships/hyperlink" Target="https://www.homes.com/property/190-n-lafayette-st-tracy-ca/x6xzt2lw9j9cx/" TargetMode="External"/><Relationship Id="rId66" Type="http://schemas.openxmlformats.org/officeDocument/2006/relationships/hyperlink" Target="https://www.celebritynetworth.com/articles/celebrity-homes/patrick-soon-shiongs-house-brentwood-billionaire-doctor-demolished-seven-houses-build-one-insane-mega-property/" TargetMode="External"/><Relationship Id="rId65" Type="http://schemas.openxmlformats.org/officeDocument/2006/relationships/hyperlink" Target="http://redfin.com/" TargetMode="External"/><Relationship Id="rId68" Type="http://schemas.openxmlformats.org/officeDocument/2006/relationships/hyperlink" Target="https://www.homes.com/property/9491-sunset-blvd-beverly-hills-ca/sw2h7klpb942m/" TargetMode="External"/><Relationship Id="rId67" Type="http://schemas.openxmlformats.org/officeDocument/2006/relationships/hyperlink" Target="http://celebritynetworth.com/" TargetMode="External"/><Relationship Id="rId60" Type="http://schemas.openxmlformats.org/officeDocument/2006/relationships/hyperlink" Target="http://homes.com/" TargetMode="External"/><Relationship Id="rId165" Type="http://schemas.openxmlformats.org/officeDocument/2006/relationships/hyperlink" Target="https://www.homes.com/property/50-blue-heron-irvine-ca/mq2wf6e3eegw4/" TargetMode="External"/><Relationship Id="rId69" Type="http://schemas.openxmlformats.org/officeDocument/2006/relationships/hyperlink" Target="https://www.homes.com/property/9491-sunset-blvd-beverly-hills-ca/sw2h7klpb942m/" TargetMode="External"/><Relationship Id="rId164" Type="http://schemas.openxmlformats.org/officeDocument/2006/relationships/hyperlink" Target="http://homes.com/" TargetMode="External"/><Relationship Id="rId163" Type="http://schemas.openxmlformats.org/officeDocument/2006/relationships/hyperlink" Target="https://www.homes.com/property/320-kellogg-ave-palo-alto-ca/98lwzz13kxwmq/" TargetMode="External"/><Relationship Id="rId162" Type="http://schemas.openxmlformats.org/officeDocument/2006/relationships/hyperlink" Target="http://homes.com/" TargetMode="External"/><Relationship Id="rId167" Type="http://schemas.openxmlformats.org/officeDocument/2006/relationships/drawing" Target="../drawings/drawing6.xml"/><Relationship Id="rId166" Type="http://schemas.openxmlformats.org/officeDocument/2006/relationships/hyperlink" Target="https://www.zillow.com/homedetails/2940-Pacific-Ave-San-Francisco-CA-94115/61325112_zpid/" TargetMode="External"/><Relationship Id="rId51" Type="http://schemas.openxmlformats.org/officeDocument/2006/relationships/hyperlink" Target="http://homes.com/" TargetMode="External"/><Relationship Id="rId50" Type="http://schemas.openxmlformats.org/officeDocument/2006/relationships/hyperlink" Target="https://www.homes.com/property/10051-valley-spring-ln-toluca-lake-ca/kd8ylmg68cld1/" TargetMode="External"/><Relationship Id="rId53" Type="http://schemas.openxmlformats.org/officeDocument/2006/relationships/hyperlink" Target="https://www.finance-monthly.com/steven-spielbergs-net-worth-9-5-billion-in-2025/" TargetMode="External"/><Relationship Id="rId52" Type="http://schemas.openxmlformats.org/officeDocument/2006/relationships/hyperlink" Target="https://www.forbes.com/sites/trulia/2014/04/04/las-super-mansion-fleur-de-lys-sells-for-a-record-breaking-102-million/" TargetMode="External"/><Relationship Id="rId55" Type="http://schemas.openxmlformats.org/officeDocument/2006/relationships/hyperlink" Target="https://www.homes.com/property/376-mountain-home-rd-woodside-ca/p6sh3hp6plvk6/" TargetMode="External"/><Relationship Id="rId161" Type="http://schemas.openxmlformats.org/officeDocument/2006/relationships/hyperlink" Target="https://www.homes.com/property/12989-chalon-rd-los-angeles-ca/vzh93nfhkznsx/" TargetMode="External"/><Relationship Id="rId54" Type="http://schemas.openxmlformats.org/officeDocument/2006/relationships/hyperlink" Target="https://www.finance-monthly.com/steven-spielbergs-net-worth-9-5-billion-in-2025/" TargetMode="External"/><Relationship Id="rId160" Type="http://schemas.openxmlformats.org/officeDocument/2006/relationships/hyperlink" Target="https://andreaselsenhans.com/norman-lear-finds-buyer-for-longtime-los-angeles-estate/" TargetMode="External"/><Relationship Id="rId57" Type="http://schemas.openxmlformats.org/officeDocument/2006/relationships/hyperlink" Target="http://homes.com/" TargetMode="External"/><Relationship Id="rId56" Type="http://schemas.openxmlformats.org/officeDocument/2006/relationships/hyperlink" Target="https://www.homes.com/property/376-mountain-home-rd-woodside-ca/p6sh3hp6plvk6/" TargetMode="External"/><Relationship Id="rId159" Type="http://schemas.openxmlformats.org/officeDocument/2006/relationships/hyperlink" Target="https://nypost.com/2025/11/20/sports/see-photos-of-lebron-james-37-million-beverly-hills-home/" TargetMode="External"/><Relationship Id="rId59" Type="http://schemas.openxmlformats.org/officeDocument/2006/relationships/hyperlink" Target="https://www.homes.com/property/20-willow-rd-menlo-park-ca-unit-8/hbwec8jc2rsrg/" TargetMode="External"/><Relationship Id="rId154" Type="http://schemas.openxmlformats.org/officeDocument/2006/relationships/hyperlink" Target="https://www.homes.com/property/1547-forge-rd-san-mateo-ca/wtmg59xeew5jg/" TargetMode="External"/><Relationship Id="rId58" Type="http://schemas.openxmlformats.org/officeDocument/2006/relationships/hyperlink" Target="https://www.bloomberg.com/news/articles/2026-01-08/california-wealth-tax-threat-pushes-billionaires-to-texas-florida" TargetMode="External"/><Relationship Id="rId153" Type="http://schemas.openxmlformats.org/officeDocument/2006/relationships/hyperlink" Target="https://www.wsj.com/real-estate/luxury-homes/billionaire-ai-co-founder-lucy-guo-pays-nearly-30-million-for-l-a-spec-house-9da5120f" TargetMode="External"/><Relationship Id="rId152" Type="http://schemas.openxmlformats.org/officeDocument/2006/relationships/hyperlink" Target="https://www.celebritynetworth.com/richest-businessmen/ceos/mark-pincus-net-worth/" TargetMode="External"/><Relationship Id="rId151" Type="http://schemas.openxmlformats.org/officeDocument/2006/relationships/hyperlink" Target="http://homes.com/" TargetMode="External"/><Relationship Id="rId158" Type="http://schemas.openxmlformats.org/officeDocument/2006/relationships/hyperlink" Target="https://www.celebritynetworth.com/richest-businessmen/ceos/marissa-mayer-net-worth/" TargetMode="External"/><Relationship Id="rId157" Type="http://schemas.openxmlformats.org/officeDocument/2006/relationships/hyperlink" Target="http://homes.com/" TargetMode="External"/><Relationship Id="rId156" Type="http://schemas.openxmlformats.org/officeDocument/2006/relationships/hyperlink" Target="https://www.homes.com/property/2793-glorietta-cir-santa-clara-ca/8fmm2ykrfp59c/" TargetMode="External"/><Relationship Id="rId155" Type="http://schemas.openxmlformats.org/officeDocument/2006/relationships/hyperlink" Target="http://homes.com/" TargetMode="External"/><Relationship Id="rId107" Type="http://schemas.openxmlformats.org/officeDocument/2006/relationships/hyperlink" Target="http://homes.com/" TargetMode="External"/><Relationship Id="rId106" Type="http://schemas.openxmlformats.org/officeDocument/2006/relationships/hyperlink" Target="https://www.homes.com/property/13685-la-paloma-rd-los-altos-hills-ca/fmywnqbsb44wd/" TargetMode="External"/><Relationship Id="rId105" Type="http://schemas.openxmlformats.org/officeDocument/2006/relationships/hyperlink" Target="http://homes.com/" TargetMode="External"/><Relationship Id="rId104" Type="http://schemas.openxmlformats.org/officeDocument/2006/relationships/hyperlink" Target="https://www.homes.com/property/517-alta-ave-santa-monica-ca/vq4nqr9enjgpr/" TargetMode="External"/><Relationship Id="rId109" Type="http://schemas.openxmlformats.org/officeDocument/2006/relationships/hyperlink" Target="https://therealdeal.com/la/2020/05/09/uber-buy-travis-kalanick-behind-43m-bel-air-purchase/" TargetMode="External"/><Relationship Id="rId108" Type="http://schemas.openxmlformats.org/officeDocument/2006/relationships/hyperlink" Target="https://www.yahoo.com/entertainment/whatsapp-co-founder-brian-acton-174840726.html" TargetMode="External"/><Relationship Id="rId103" Type="http://schemas.openxmlformats.org/officeDocument/2006/relationships/hyperlink" Target="https://therealdeal.com/la/2017/02/21/alo-yoga-founder-buys-beverly-hills-house-from-bebe-founder-for-30m/" TargetMode="External"/><Relationship Id="rId102" Type="http://schemas.openxmlformats.org/officeDocument/2006/relationships/hyperlink" Target="http://homes.com/" TargetMode="External"/><Relationship Id="rId101" Type="http://schemas.openxmlformats.org/officeDocument/2006/relationships/hyperlink" Target="https://www.homes.com/property/4512-lin-gate-st-pleasanton-ca/jfjbyjdmsmcgx/" TargetMode="External"/><Relationship Id="rId100" Type="http://schemas.openxmlformats.org/officeDocument/2006/relationships/hyperlink" Target="https://www.yahoo.com/entertainment/billionaire-behdad-eghbali-buys-21-224623408.html" TargetMode="External"/><Relationship Id="rId129" Type="http://schemas.openxmlformats.org/officeDocument/2006/relationships/hyperlink" Target="https://www.forbes.com/sites/emmareynolds/2022/03/09/fashion-nova-ceo-richard-saghian-buys-the-one-megamansion-for-141-million/" TargetMode="External"/><Relationship Id="rId128" Type="http://schemas.openxmlformats.org/officeDocument/2006/relationships/hyperlink" Target="http://homes.com/" TargetMode="External"/><Relationship Id="rId127" Type="http://schemas.openxmlformats.org/officeDocument/2006/relationships/hyperlink" Target="https://www.homes.com/property/2121-webster-st-san-francisco-ca-unit-ph3/0sh6ewt66bwhf/" TargetMode="External"/><Relationship Id="rId126" Type="http://schemas.openxmlformats.org/officeDocument/2006/relationships/hyperlink" Target="https://www.yahoo.com/entertainment/altair-ceo-james-scapa-drops-151321244.html" TargetMode="External"/><Relationship Id="rId121" Type="http://schemas.openxmlformats.org/officeDocument/2006/relationships/hyperlink" Target="https://www.architecturaldigest.com/story/billionaire-snapchat-ceo-evan-spiegel-model-miranda-kerr-la-home" TargetMode="External"/><Relationship Id="rId120" Type="http://schemas.openxmlformats.org/officeDocument/2006/relationships/hyperlink" Target="http://homes.com/" TargetMode="External"/><Relationship Id="rId125" Type="http://schemas.openxmlformats.org/officeDocument/2006/relationships/hyperlink" Target="https://www.mansionglobal.com/articles/tom-ford-drops-39m-on-a-fashionable-los-angeles-home-48537" TargetMode="External"/><Relationship Id="rId124" Type="http://schemas.openxmlformats.org/officeDocument/2006/relationships/hyperlink" Target="https://www.celebritynetworth.com/richest-businessmen/business-executives/joe-lacob-net-worth/" TargetMode="External"/><Relationship Id="rId123" Type="http://schemas.openxmlformats.org/officeDocument/2006/relationships/hyperlink" Target="https://www.celebritynetworth.com/richest-businessmen/business-executives/sheryl-sandberg-net-worth/" TargetMode="External"/><Relationship Id="rId122" Type="http://schemas.openxmlformats.org/officeDocument/2006/relationships/hyperlink" Target="https://www.mansionglobal.com/articles/investor-bruce-karsh-buys-grey-estate-in-l-a-for-68-82m-97050" TargetMode="External"/><Relationship Id="rId95" Type="http://schemas.openxmlformats.org/officeDocument/2006/relationships/hyperlink" Target="http://homes.com/" TargetMode="External"/><Relationship Id="rId94" Type="http://schemas.openxmlformats.org/officeDocument/2006/relationships/hyperlink" Target="https://www.homes.com/property/808-n-beverly-dr-beverly-hills-ca/lgnr8czbm0szq/" TargetMode="External"/><Relationship Id="rId97" Type="http://schemas.openxmlformats.org/officeDocument/2006/relationships/hyperlink" Target="https://palisadesnews.com/private-equity-billionaire-jose-e-feliciano-buys-50-palisades-million-mansion-narrowly-avoids-new-mansion-tax/" TargetMode="External"/><Relationship Id="rId96" Type="http://schemas.openxmlformats.org/officeDocument/2006/relationships/hyperlink" Target="https://palisadesnews.com/private-equity-billionaire-jose-e-feliciano-buys-50-palisades-million-mansion-narrowly-avoids-new-mansion-tax/" TargetMode="External"/><Relationship Id="rId99" Type="http://schemas.openxmlformats.org/officeDocument/2006/relationships/hyperlink" Target="https://www.latimes.com/business/real-estate/story/2020-08-10/quibi-chief-meg-whitman-lists-west-hollywood-condo-for-6-5-million" TargetMode="External"/><Relationship Id="rId98" Type="http://schemas.openxmlformats.org/officeDocument/2006/relationships/hyperlink" Target="https://www.latimes.com/business/real-estate/story/2020-08-10/quibi-chief-meg-whitman-lists-west-hollywood-condo-for-6-5-million" TargetMode="External"/><Relationship Id="rId91" Type="http://schemas.openxmlformats.org/officeDocument/2006/relationships/hyperlink" Target="https://kanebridgenews.com/one-of-americas-biggest-homes-hits-the-market-for-195-million/" TargetMode="External"/><Relationship Id="rId90" Type="http://schemas.openxmlformats.org/officeDocument/2006/relationships/hyperlink" Target="http://homes.com/" TargetMode="External"/><Relationship Id="rId93" Type="http://schemas.openxmlformats.org/officeDocument/2006/relationships/hyperlink" Target="https://www.homes.com/property/808-n-beverly-dr-beverly-hills-ca/lgnr8czbm0szq/" TargetMode="External"/><Relationship Id="rId92" Type="http://schemas.openxmlformats.org/officeDocument/2006/relationships/hyperlink" Target="https://kanebridgenews.com/one-of-americas-biggest-homes-hits-the-market-for-195-million/" TargetMode="External"/><Relationship Id="rId118" Type="http://schemas.openxmlformats.org/officeDocument/2006/relationships/hyperlink" Target="https://www.celebritynetworth.com/articles/celebrity-homes/homeless-billionaire-nicolas-berggruen-is-no-longer-homeless-with-63-million-hearst-estate-purchase/" TargetMode="External"/><Relationship Id="rId117" Type="http://schemas.openxmlformats.org/officeDocument/2006/relationships/hyperlink" Target="https://www.latimes.com/business/realestate/hot-property/la-fi-hotprop-ellen-degeneres-20140707-story.html" TargetMode="External"/><Relationship Id="rId116" Type="http://schemas.openxmlformats.org/officeDocument/2006/relationships/hyperlink" Target="https://www.realtor.com/news/celebrity-real-estate/oprah-winfrey-kamala-harris-homes/" TargetMode="External"/><Relationship Id="rId115" Type="http://schemas.openxmlformats.org/officeDocument/2006/relationships/hyperlink" Target="https://www.mansionglobal.com/articles/mighty-morphin-power-rangers-creator-haim-sabans-malibu-beach-house-gets-a-7-5-million-discount-3b235ba0" TargetMode="External"/><Relationship Id="rId119" Type="http://schemas.openxmlformats.org/officeDocument/2006/relationships/hyperlink" Target="https://www.homes.com/property/200-sea-cliff-ave-san-francisco-ca/6lbnfvv2v66d3/" TargetMode="External"/><Relationship Id="rId110" Type="http://schemas.openxmlformats.org/officeDocument/2006/relationships/hyperlink" Target="https://www.forbes.com/sites/chasewithorn/2026/01/15/los-angeles-billionaire-moves-to-nevada-after-california-threatens-to-tax-wealth/" TargetMode="External"/><Relationship Id="rId114" Type="http://schemas.openxmlformats.org/officeDocument/2006/relationships/hyperlink" Target="https://socketsite.com/archives/2015/11/behind-the-28-5m-fixer-under-wraps-on-billionaires-row.html" TargetMode="External"/><Relationship Id="rId113" Type="http://schemas.openxmlformats.org/officeDocument/2006/relationships/hyperlink" Target="https://www.forbes.com/sites/chasewithorn/2026/01/15/los-angeles-billionaire-moves-to-nevada-after-california-threatens-to-tax-wealth/" TargetMode="External"/><Relationship Id="rId112" Type="http://schemas.openxmlformats.org/officeDocument/2006/relationships/hyperlink" Target="https://www.foxbusiness.com/politics/tech-billionaires-threaten-flee-california-over-proposed-5-wealth-tax" TargetMode="External"/><Relationship Id="rId111" Type="http://schemas.openxmlformats.org/officeDocument/2006/relationships/hyperlink" Target="https://www.forbes.com/sites/iainmartin/2024/07/22/billionaire-palmer-luckey-sues-contractor-after-being-trapped-in-his-mansions-car-elevator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omes.com/property/27450-pacific-coast-hwy-malibu-ca/gt8keb94hyyzn/" TargetMode="External"/><Relationship Id="rId42" Type="http://schemas.openxmlformats.org/officeDocument/2006/relationships/hyperlink" Target="https://www.forbes.com/sites/chasewithorn/2026/01/15/los-angeles-billionaire-moves-to-nevada-after-california-threatens-to-tax-wealth/" TargetMode="External"/><Relationship Id="rId41" Type="http://schemas.openxmlformats.org/officeDocument/2006/relationships/hyperlink" Target="http://homes.com/" TargetMode="External"/><Relationship Id="rId44" Type="http://schemas.openxmlformats.org/officeDocument/2006/relationships/hyperlink" Target="https://www.homes.com/property/1401-emerson-st-palo-alto-ca/znpl6z10qsgvy/" TargetMode="External"/><Relationship Id="rId43" Type="http://schemas.openxmlformats.org/officeDocument/2006/relationships/hyperlink" Target="https://www.homes.com/property/1401-emerson-st-palo-alto-ca/znpl6z10qsgvy/" TargetMode="External"/><Relationship Id="rId46" Type="http://schemas.openxmlformats.org/officeDocument/2006/relationships/hyperlink" Target="https://blockshopper.com/ca/san-francisco-county/san-francisco/property/0953006/2626-vallejo-street" TargetMode="External"/><Relationship Id="rId45" Type="http://schemas.openxmlformats.org/officeDocument/2006/relationships/hyperlink" Target="http://homes.com/" TargetMode="External"/><Relationship Id="rId48" Type="http://schemas.openxmlformats.org/officeDocument/2006/relationships/hyperlink" Target="https://www.bloomberg.com/news/articles/2026-01-08/california-wealth-tax-threat-pushes-billionaires-to-texas-florida" TargetMode="External"/><Relationship Id="rId47" Type="http://schemas.openxmlformats.org/officeDocument/2006/relationships/hyperlink" Target="https://blockshopper.com/ca/san-francisco-county/san-francisco/property/0953006/2626-vallejo-street" TargetMode="External"/><Relationship Id="rId49" Type="http://schemas.openxmlformats.org/officeDocument/2006/relationships/hyperlink" Target="https://www.homes.com/property/10051-valley-spring-ln-toluca-lake-ca/kd8ylmg68cld1/" TargetMode="External"/><Relationship Id="rId31" Type="http://schemas.openxmlformats.org/officeDocument/2006/relationships/hyperlink" Target="https://sfstandard.com/2025/09/09/chris-larsen-napa-home/" TargetMode="External"/><Relationship Id="rId30" Type="http://schemas.openxmlformats.org/officeDocument/2006/relationships/hyperlink" Target="https://www.celebritynetworth.com/richest-businessmen/richest-billionaires/douglas-leone-net-worth/" TargetMode="External"/><Relationship Id="rId33" Type="http://schemas.openxmlformats.org/officeDocument/2006/relationships/hyperlink" Target="https://www.urbansplatter.com/2022/05/brian-armstrong-house-the-los-angeles-mansion/" TargetMode="External"/><Relationship Id="rId32" Type="http://schemas.openxmlformats.org/officeDocument/2006/relationships/hyperlink" Target="https://docs.google.com/spreadsheets/d/1-d_IAr8tITUy_s8QmIzH-FLYoODzaBxNMWShu9W7IFk/edit?gid=1121030019" TargetMode="External"/><Relationship Id="rId35" Type="http://schemas.openxmlformats.org/officeDocument/2006/relationships/hyperlink" Target="https://therealdeal.com/la/2016/10/24/platinum-equity-ceo-buys-holmby-hills-spec-home-for-100m/" TargetMode="External"/><Relationship Id="rId34" Type="http://schemas.openxmlformats.org/officeDocument/2006/relationships/hyperlink" Target="https://www.urbansplatter.com/2022/05/brian-armstrong-house-the-los-angeles-mansion/" TargetMode="External"/><Relationship Id="rId37" Type="http://schemas.openxmlformats.org/officeDocument/2006/relationships/hyperlink" Target="https://www.yahoo.com/entertainment/twitter-ceo-jack-dorsey-scoops-011751538.html" TargetMode="External"/><Relationship Id="rId36" Type="http://schemas.openxmlformats.org/officeDocument/2006/relationships/hyperlink" Target="https://www.washingtonpost.com/technology/2026/01/19/california-wealth-tax-exodus/" TargetMode="External"/><Relationship Id="rId39" Type="http://schemas.openxmlformats.org/officeDocument/2006/relationships/hyperlink" Target="https://www.inman.com/2020/06/11/entertainment-mogul-david-geffen-buys-la-luxury-estate-for-68m/" TargetMode="External"/><Relationship Id="rId38" Type="http://schemas.openxmlformats.org/officeDocument/2006/relationships/hyperlink" Target="https://finance.yahoo.com/news/david-geffen-completes-68-million-192458970.html" TargetMode="External"/><Relationship Id="rId20" Type="http://schemas.openxmlformats.org/officeDocument/2006/relationships/hyperlink" Target="https://www.celebritynetworth.com/articles/billionaire-news/jan-koum-grew-up-on-food-stamps-and-now-owns-more-than-400-million-worth-of-california-real-estate/" TargetMode="External"/><Relationship Id="rId22" Type="http://schemas.openxmlformats.org/officeDocument/2006/relationships/hyperlink" Target="https://blockshopper.com/ca/san-mateo-county/atherton/property/070032440/260-atherton-avenue" TargetMode="External"/><Relationship Id="rId21" Type="http://schemas.openxmlformats.org/officeDocument/2006/relationships/hyperlink" Target="https://nypost.com/2026/01/08/real-estate/tech-titans-leaving-california-for-florida-over-billionaire-tax/" TargetMode="External"/><Relationship Id="rId24" Type="http://schemas.openxmlformats.org/officeDocument/2006/relationships/hyperlink" Target="https://www.finance-monthly.com/antony-resslers-net-worth-2025-billionaire-financier-sports-owner-and-philanthropist/" TargetMode="External"/><Relationship Id="rId23" Type="http://schemas.openxmlformats.org/officeDocument/2006/relationships/hyperlink" Target="https://fortune.com/2024/07/13/laurene-powell-jobs-buys-mansion-san-francisco-billionaires-row-70-million-record-high/" TargetMode="External"/><Relationship Id="rId26" Type="http://schemas.openxmlformats.org/officeDocument/2006/relationships/hyperlink" Target="https://www.yahoo.com/entertainment/billionaire-riley-bechtel-pays-record-201404351.html" TargetMode="External"/><Relationship Id="rId25" Type="http://schemas.openxmlformats.org/officeDocument/2006/relationships/hyperlink" Target="https://www.finance-monthly.com/antony-resslers-net-worth-2025-billionaire-financier-sports-owner-and-philanthropist/" TargetMode="External"/><Relationship Id="rId28" Type="http://schemas.openxmlformats.org/officeDocument/2006/relationships/hyperlink" Target="https://www.seattletimes.com/business/young-tech-millionaires-keeping-1-bedroom-lifestyle/" TargetMode="External"/><Relationship Id="rId27" Type="http://schemas.openxmlformats.org/officeDocument/2006/relationships/hyperlink" Target="https://www.yahoo.com/entertainment/billionaire-riley-bechtel-pays-record-201404351.html" TargetMode="External"/><Relationship Id="rId29" Type="http://schemas.openxmlformats.org/officeDocument/2006/relationships/hyperlink" Target="https://www.celebritynetworth.com/richest-businessmen/richest-billionaires/douglas-leone-net-worth/" TargetMode="External"/><Relationship Id="rId11" Type="http://schemas.openxmlformats.org/officeDocument/2006/relationships/hyperlink" Target="https://www.urbansplatter.com/2024/06/henry-samueli-house-the-california-dwelling/" TargetMode="External"/><Relationship Id="rId10" Type="http://schemas.openxmlformats.org/officeDocument/2006/relationships/hyperlink" Target="https://www.urbansplatter.com/2024/06/henry-samueli-house-the-california-dwelling/" TargetMode="External"/><Relationship Id="rId13" Type="http://schemas.openxmlformats.org/officeDocument/2006/relationships/hyperlink" Target="https://www.forbes.com/sites/tylerroush/2025/12/27/possible-california-wealth-tax-causes-billionaire-freakout-page-thiel-threaten-to-leave/" TargetMode="External"/><Relationship Id="rId12" Type="http://schemas.openxmlformats.org/officeDocument/2006/relationships/hyperlink" Target="https://labusinessjournal.com/technology/billionaire-peter-thiel-moving-los-angeles/" TargetMode="External"/><Relationship Id="rId15" Type="http://schemas.openxmlformats.org/officeDocument/2006/relationships/hyperlink" Target="https://hauteliving.com/2010/01/haute-estate-19-8-million-newport-coast-mansion/18762/" TargetMode="External"/><Relationship Id="rId14" Type="http://schemas.openxmlformats.org/officeDocument/2006/relationships/hyperlink" Target="https://www.dailymail.co.uk/sport/nba/article-12947653/Memphis-Grizzlies-billionaire-owner-Robert-Pena-Star-Island-arena.html" TargetMode="External"/><Relationship Id="rId17" Type="http://schemas.openxmlformats.org/officeDocument/2006/relationships/hyperlink" Target="https://labusinessjournal.com/special-editions/wealthiest-angelenos/wealthiest-2023/10-eric-smidt/" TargetMode="External"/><Relationship Id="rId16" Type="http://schemas.openxmlformats.org/officeDocument/2006/relationships/hyperlink" Target="https://hauteliving.com/2010/01/haute-estate-19-8-million-newport-coast-mansion/18762/" TargetMode="External"/><Relationship Id="rId19" Type="http://schemas.openxmlformats.org/officeDocument/2006/relationships/hyperlink" Target="https://www.celebritynetworth.com/articles/celebrity-homes/two-years-after-paying-100-million-for-a-malibu-mansion-whatsapp-founder-buys-the-house-next-door-for-87-million/" TargetMode="External"/><Relationship Id="rId18" Type="http://schemas.openxmlformats.org/officeDocument/2006/relationships/hyperlink" Target="https://blockshopper.com/ca/los-angeles-county/rolling-hills/property/7567015025/6-east-crest-road" TargetMode="External"/><Relationship Id="rId84" Type="http://schemas.openxmlformats.org/officeDocument/2006/relationships/hyperlink" Target="https://www.homes.com/property/429-elizabeth-st-san-francisco-ca/xpxfwnhw0x4kw/" TargetMode="External"/><Relationship Id="rId83" Type="http://schemas.openxmlformats.org/officeDocument/2006/relationships/hyperlink" Target="https://www.homes.com/property/429-elizabeth-st-san-francisco-ca/xpxfwnhw0x4kw/" TargetMode="External"/><Relationship Id="rId86" Type="http://schemas.openxmlformats.org/officeDocument/2006/relationships/hyperlink" Target="https://www.homes.com/property/27161-w-fremont-rd-los-altos-hills-ca/yneqges0z8j44/" TargetMode="External"/><Relationship Id="rId85" Type="http://schemas.openxmlformats.org/officeDocument/2006/relationships/hyperlink" Target="http://homes.com/" TargetMode="External"/><Relationship Id="rId88" Type="http://schemas.openxmlformats.org/officeDocument/2006/relationships/hyperlink" Target="https://www.homes.com/property/3340-jackson-st-san-francisco-ca/lemwwpgc5tfrh/" TargetMode="External"/><Relationship Id="rId150" Type="http://schemas.openxmlformats.org/officeDocument/2006/relationships/hyperlink" Target="https://www.homes.com/property/12-beverly-park-beverly-hills-ca/e5yt4yzd0p2bz/" TargetMode="External"/><Relationship Id="rId87" Type="http://schemas.openxmlformats.org/officeDocument/2006/relationships/hyperlink" Target="http://homes.com/" TargetMode="External"/><Relationship Id="rId89" Type="http://schemas.openxmlformats.org/officeDocument/2006/relationships/hyperlink" Target="https://www.forbes.com/sites/forbeswealthteam/2023/08/26/when-10-homes-isnt-enough-which-billionaires-own-the-most-properties-larry-ellison-jeff-bezos-oprah-winfrey/" TargetMode="External"/><Relationship Id="rId80" Type="http://schemas.openxmlformats.org/officeDocument/2006/relationships/hyperlink" Target="https://www.homes.com/property/2324-pacific-ave-san-francisco-ca/qpzresp8fbygw/" TargetMode="External"/><Relationship Id="rId82" Type="http://schemas.openxmlformats.org/officeDocument/2006/relationships/hyperlink" Target="http://homes.com/" TargetMode="External"/><Relationship Id="rId81" Type="http://schemas.openxmlformats.org/officeDocument/2006/relationships/hyperlink" Target="https://www.homes.com/property/2324-pacific-ave-san-francisco-ca/qpzresp8fbygw/" TargetMode="External"/><Relationship Id="rId1" Type="http://schemas.openxmlformats.org/officeDocument/2006/relationships/hyperlink" Target="https://elmundomiami.com/economy/larry-page-invests-173-4-million-in-the-miami-real-estate-market/" TargetMode="External"/><Relationship Id="rId2" Type="http://schemas.openxmlformats.org/officeDocument/2006/relationships/hyperlink" Target="https://www.businessinsider.com/larry-page-leave-california-wealth-billionaire-tax-koop-google-2026-1" TargetMode="External"/><Relationship Id="rId3" Type="http://schemas.openxmlformats.org/officeDocument/2006/relationships/hyperlink" Target="https://www.aol.com/news/google-cofounders-sergey-brin-larry-195211174.html" TargetMode="External"/><Relationship Id="rId149" Type="http://schemas.openxmlformats.org/officeDocument/2006/relationships/hyperlink" Target="https://timesofindia.indiatimes.com/etimes/trending/sundar-pichais-journey-from-humble-beginnings-to-google-ceo-and-a-40-million-california-mansion/articleshow/113258369.cms" TargetMode="External"/><Relationship Id="rId4" Type="http://schemas.openxmlformats.org/officeDocument/2006/relationships/hyperlink" Target="https://www.realtor.com/news/celebrity-real-estate/mark-zuckerberg-palo-alto-home-fury-neighbors/" TargetMode="External"/><Relationship Id="rId148" Type="http://schemas.openxmlformats.org/officeDocument/2006/relationships/hyperlink" Target="http://homes.com/" TargetMode="External"/><Relationship Id="rId9" Type="http://schemas.openxmlformats.org/officeDocument/2006/relationships/hyperlink" Target="https://robbreport.com/shelter/celebrity-homes/lists/eric-schmidt-property-portfolio-1236832435/" TargetMode="External"/><Relationship Id="rId143" Type="http://schemas.openxmlformats.org/officeDocument/2006/relationships/hyperlink" Target="https://www.homes.com/property/3456-washington-st-san-francisco-ca/5d1del25rt9yp/" TargetMode="External"/><Relationship Id="rId142" Type="http://schemas.openxmlformats.org/officeDocument/2006/relationships/hyperlink" Target="https://www.homes.com/property/144-monte-carlo-dr-laguna-beach-ca/xg2w65bmqx27x/" TargetMode="External"/><Relationship Id="rId141" Type="http://schemas.openxmlformats.org/officeDocument/2006/relationships/hyperlink" Target="https://buffalonews.com/entertainment/arts-and-theatre/jeffrey-gundlach-the-man-behind-the-millions/article_3ac395ee-59c1-5659-89f9-8d1bf6e75a89.html" TargetMode="External"/><Relationship Id="rId140" Type="http://schemas.openxmlformats.org/officeDocument/2006/relationships/hyperlink" Target="https://www.ocregister.com/2018/07/12/pimco-founder-bill-gross-buys-oceanfront-laguna-beach-home-for-35-8-million/" TargetMode="External"/><Relationship Id="rId5" Type="http://schemas.openxmlformats.org/officeDocument/2006/relationships/hyperlink" Target="https://robbreport.com/shelter/celebrity-homes/mark-zuckerberg-property-portfolio-1236712447/" TargetMode="External"/><Relationship Id="rId147" Type="http://schemas.openxmlformats.org/officeDocument/2006/relationships/hyperlink" Target="https://www.homes.com/property/33-16th-st-hermosa-beach-ca/01q976qwnm5z2/" TargetMode="External"/><Relationship Id="rId6" Type="http://schemas.openxmlformats.org/officeDocument/2006/relationships/hyperlink" Target="https://www.yahoo.com/lifestyle/articles/3-most-expensive-properties-nvidia-115457861.html" TargetMode="External"/><Relationship Id="rId146" Type="http://schemas.openxmlformats.org/officeDocument/2006/relationships/hyperlink" Target="http://homes.com/" TargetMode="External"/><Relationship Id="rId7" Type="http://schemas.openxmlformats.org/officeDocument/2006/relationships/hyperlink" Target="https://www.foxbusiness.com/lifestyle/nvidias-ceo-extensive-rich-real-estate-portfolio" TargetMode="External"/><Relationship Id="rId145" Type="http://schemas.openxmlformats.org/officeDocument/2006/relationships/hyperlink" Target="https://www.homes.com/property/1162-tower-rd-beverly-hills-ca/qnh4f481ptw1y/" TargetMode="External"/><Relationship Id="rId8" Type="http://schemas.openxmlformats.org/officeDocument/2006/relationships/hyperlink" Target="https://uk.finance.yahoo.com/news/nvidia-jensen-huang-perfectly-fine-170800688.html" TargetMode="External"/><Relationship Id="rId144" Type="http://schemas.openxmlformats.org/officeDocument/2006/relationships/hyperlink" Target="http://homes.com/" TargetMode="External"/><Relationship Id="rId73" Type="http://schemas.openxmlformats.org/officeDocument/2006/relationships/hyperlink" Target="https://www.marinij.com/2023/07/29/george-lucas-sues-to-secure-san-anselmo-parcel-ownership/" TargetMode="External"/><Relationship Id="rId72" Type="http://schemas.openxmlformats.org/officeDocument/2006/relationships/hyperlink" Target="https://www.homes.com/property/9491-sunset-blvd-beverly-hills-ca/sw2h7klpb942m/" TargetMode="External"/><Relationship Id="rId75" Type="http://schemas.openxmlformats.org/officeDocument/2006/relationships/hyperlink" Target="https://www.celebritynetworth.com/richest-businessmen/ceos/reed-hastings-net-worth/" TargetMode="External"/><Relationship Id="rId74" Type="http://schemas.openxmlformats.org/officeDocument/2006/relationships/hyperlink" Target="https://www.celebritynetworth.com/richest-businessmen/ceos/reed-hastings-net-worth/" TargetMode="External"/><Relationship Id="rId77" Type="http://schemas.openxmlformats.org/officeDocument/2006/relationships/hyperlink" Target="https://www.yahoo.com/entertainment/twitter-ceo-jack-dorsey-scoops-011751538.html" TargetMode="External"/><Relationship Id="rId76" Type="http://schemas.openxmlformats.org/officeDocument/2006/relationships/hyperlink" Target="https://nypost.com/2026/01/08/real-estate/tech-titans-leaving-california-for-florida-over-billionaire-tax/" TargetMode="External"/><Relationship Id="rId79" Type="http://schemas.openxmlformats.org/officeDocument/2006/relationships/hyperlink" Target="http://homes.com/" TargetMode="External"/><Relationship Id="rId78" Type="http://schemas.openxmlformats.org/officeDocument/2006/relationships/hyperlink" Target="https://www.homes.com/property/34-maple-st-san-francisco-ca/83sknmj9zbck7/" TargetMode="External"/><Relationship Id="rId71" Type="http://schemas.openxmlformats.org/officeDocument/2006/relationships/hyperlink" Target="https://www.homes.com/property/9491-sunset-blvd-beverly-hills-ca/sw2h7klpb942m/" TargetMode="External"/><Relationship Id="rId70" Type="http://schemas.openxmlformats.org/officeDocument/2006/relationships/hyperlink" Target="http://homes.com/" TargetMode="External"/><Relationship Id="rId139" Type="http://schemas.openxmlformats.org/officeDocument/2006/relationships/hyperlink" Target="https://brentwoodnewsla.com/billionaire-orthopedic-surgeon-buys-23-9-million-brentwood-mansion/" TargetMode="External"/><Relationship Id="rId138" Type="http://schemas.openxmlformats.org/officeDocument/2006/relationships/hyperlink" Target="https://therealdeal.com/la/2023/07/26/malibu-home-of-milwaukee-brewers-owner-goes-into-contract-for-25m/" TargetMode="External"/><Relationship Id="rId137" Type="http://schemas.openxmlformats.org/officeDocument/2006/relationships/hyperlink" Target="https://www.realtor.com/news/celebrity-real-estate/kim-kardashian-buys-hidden-hills-home-kanye-west/" TargetMode="External"/><Relationship Id="rId132" Type="http://schemas.openxmlformats.org/officeDocument/2006/relationships/hyperlink" Target="https://www.homes.com/property/40-minoca-rd-portola-valley-ca/7q7r3jf36ed8k/" TargetMode="External"/><Relationship Id="rId131" Type="http://schemas.openxmlformats.org/officeDocument/2006/relationships/hyperlink" Target="https://eliteagent.com/jennifer-lopez-takes-a-price-cut-on-bel-air-home/" TargetMode="External"/><Relationship Id="rId130" Type="http://schemas.openxmlformats.org/officeDocument/2006/relationships/hyperlink" Target="https://www.celebritynetworth.com/richest-businessmen/ceos/alec-gores/" TargetMode="External"/><Relationship Id="rId136" Type="http://schemas.openxmlformats.org/officeDocument/2006/relationships/hyperlink" Target="https://www.celebritynetworth.com/articles/celebrity-homes/marc-andreessen-just-paid-177-million-for-a-seven-acre-malibu-estate-the-second-most-expensive-home-sold-in-us-history/" TargetMode="External"/><Relationship Id="rId135" Type="http://schemas.openxmlformats.org/officeDocument/2006/relationships/hyperlink" Target="https://www.wsj.com/real-estate/luxury-homes/johnny-carsons-longtime-malibu-home-lists-for-110-million-a9331324" TargetMode="External"/><Relationship Id="rId134" Type="http://schemas.openxmlformats.org/officeDocument/2006/relationships/hyperlink" Target="https://www.forbes.com/sites/brianbushard/2024/07/17/billionaire-sam-altman-claims-27-million-san-francisco-mansion-is-a-lemon/" TargetMode="External"/><Relationship Id="rId133" Type="http://schemas.openxmlformats.org/officeDocument/2006/relationships/hyperlink" Target="http://homes.com/" TargetMode="External"/><Relationship Id="rId62" Type="http://schemas.openxmlformats.org/officeDocument/2006/relationships/hyperlink" Target="https://www.celebritynetworth.com/richest-businessmen/richest-billionaires/rick-caruso-net-worth/" TargetMode="External"/><Relationship Id="rId61" Type="http://schemas.openxmlformats.org/officeDocument/2006/relationships/hyperlink" Target="https://xabisinc.com/blog/rick-carusos-net-worth-the-secrets-behind-his-real-estate-success/" TargetMode="External"/><Relationship Id="rId64" Type="http://schemas.openxmlformats.org/officeDocument/2006/relationships/hyperlink" Target="http://homes.com/" TargetMode="External"/><Relationship Id="rId63" Type="http://schemas.openxmlformats.org/officeDocument/2006/relationships/hyperlink" Target="https://www.homes.com/property/190-n-lafayette-st-tracy-ca/x6xzt2lw9j9cx/" TargetMode="External"/><Relationship Id="rId66" Type="http://schemas.openxmlformats.org/officeDocument/2006/relationships/hyperlink" Target="https://www.celebritynetworth.com/articles/celebrity-homes/patrick-soon-shiongs-house-brentwood-billionaire-doctor-demolished-seven-houses-build-one-insane-mega-property/" TargetMode="External"/><Relationship Id="rId65" Type="http://schemas.openxmlformats.org/officeDocument/2006/relationships/hyperlink" Target="http://redfin.com/" TargetMode="External"/><Relationship Id="rId68" Type="http://schemas.openxmlformats.org/officeDocument/2006/relationships/hyperlink" Target="https://www.homes.com/property/9491-sunset-blvd-beverly-hills-ca/sw2h7klpb942m/" TargetMode="External"/><Relationship Id="rId67" Type="http://schemas.openxmlformats.org/officeDocument/2006/relationships/hyperlink" Target="http://celebritynetworth.com/" TargetMode="External"/><Relationship Id="rId60" Type="http://schemas.openxmlformats.org/officeDocument/2006/relationships/hyperlink" Target="http://homes.com/" TargetMode="External"/><Relationship Id="rId165" Type="http://schemas.openxmlformats.org/officeDocument/2006/relationships/hyperlink" Target="https://www.homes.com/property/50-blue-heron-irvine-ca/mq2wf6e3eegw4/" TargetMode="External"/><Relationship Id="rId69" Type="http://schemas.openxmlformats.org/officeDocument/2006/relationships/hyperlink" Target="https://www.homes.com/property/9491-sunset-blvd-beverly-hills-ca/sw2h7klpb942m/" TargetMode="External"/><Relationship Id="rId164" Type="http://schemas.openxmlformats.org/officeDocument/2006/relationships/hyperlink" Target="http://homes.com/" TargetMode="External"/><Relationship Id="rId163" Type="http://schemas.openxmlformats.org/officeDocument/2006/relationships/hyperlink" Target="https://www.homes.com/property/320-kellogg-ave-palo-alto-ca/98lwzz13kxwmq/" TargetMode="External"/><Relationship Id="rId162" Type="http://schemas.openxmlformats.org/officeDocument/2006/relationships/hyperlink" Target="http://homes.com/" TargetMode="External"/><Relationship Id="rId167" Type="http://schemas.openxmlformats.org/officeDocument/2006/relationships/drawing" Target="../drawings/drawing9.xml"/><Relationship Id="rId166" Type="http://schemas.openxmlformats.org/officeDocument/2006/relationships/hyperlink" Target="https://www.zillow.com/homedetails/2940-Pacific-Ave-San-Francisco-CA-94115/61325112_zpid/" TargetMode="External"/><Relationship Id="rId51" Type="http://schemas.openxmlformats.org/officeDocument/2006/relationships/hyperlink" Target="http://homes.com/" TargetMode="External"/><Relationship Id="rId50" Type="http://schemas.openxmlformats.org/officeDocument/2006/relationships/hyperlink" Target="https://www.homes.com/property/10051-valley-spring-ln-toluca-lake-ca/kd8ylmg68cld1/" TargetMode="External"/><Relationship Id="rId53" Type="http://schemas.openxmlformats.org/officeDocument/2006/relationships/hyperlink" Target="https://www.finance-monthly.com/steven-spielbergs-net-worth-9-5-billion-in-2025/" TargetMode="External"/><Relationship Id="rId52" Type="http://schemas.openxmlformats.org/officeDocument/2006/relationships/hyperlink" Target="https://www.forbes.com/sites/trulia/2014/04/04/las-super-mansion-fleur-de-lys-sells-for-a-record-breaking-102-million/" TargetMode="External"/><Relationship Id="rId55" Type="http://schemas.openxmlformats.org/officeDocument/2006/relationships/hyperlink" Target="https://www.homes.com/property/376-mountain-home-rd-woodside-ca/p6sh3hp6plvk6/" TargetMode="External"/><Relationship Id="rId161" Type="http://schemas.openxmlformats.org/officeDocument/2006/relationships/hyperlink" Target="https://www.homes.com/property/12989-chalon-rd-los-angeles-ca/vzh93nfhkznsx/" TargetMode="External"/><Relationship Id="rId54" Type="http://schemas.openxmlformats.org/officeDocument/2006/relationships/hyperlink" Target="https://www.finance-monthly.com/steven-spielbergs-net-worth-9-5-billion-in-2025/" TargetMode="External"/><Relationship Id="rId160" Type="http://schemas.openxmlformats.org/officeDocument/2006/relationships/hyperlink" Target="https://andreaselsenhans.com/norman-lear-finds-buyer-for-longtime-los-angeles-estate/" TargetMode="External"/><Relationship Id="rId57" Type="http://schemas.openxmlformats.org/officeDocument/2006/relationships/hyperlink" Target="http://homes.com/" TargetMode="External"/><Relationship Id="rId56" Type="http://schemas.openxmlformats.org/officeDocument/2006/relationships/hyperlink" Target="https://www.homes.com/property/376-mountain-home-rd-woodside-ca/p6sh3hp6plvk6/" TargetMode="External"/><Relationship Id="rId159" Type="http://schemas.openxmlformats.org/officeDocument/2006/relationships/hyperlink" Target="https://nypost.com/2025/11/20/sports/see-photos-of-lebron-james-37-million-beverly-hills-home/" TargetMode="External"/><Relationship Id="rId59" Type="http://schemas.openxmlformats.org/officeDocument/2006/relationships/hyperlink" Target="https://www.homes.com/property/20-willow-rd-menlo-park-ca-unit-8/hbwec8jc2rsrg/" TargetMode="External"/><Relationship Id="rId154" Type="http://schemas.openxmlformats.org/officeDocument/2006/relationships/hyperlink" Target="https://www.homes.com/property/1547-forge-rd-san-mateo-ca/wtmg59xeew5jg/" TargetMode="External"/><Relationship Id="rId58" Type="http://schemas.openxmlformats.org/officeDocument/2006/relationships/hyperlink" Target="https://www.bloomberg.com/news/articles/2026-01-08/california-wealth-tax-threat-pushes-billionaires-to-texas-florida" TargetMode="External"/><Relationship Id="rId153" Type="http://schemas.openxmlformats.org/officeDocument/2006/relationships/hyperlink" Target="https://www.wsj.com/real-estate/luxury-homes/billionaire-ai-co-founder-lucy-guo-pays-nearly-30-million-for-l-a-spec-house-9da5120f" TargetMode="External"/><Relationship Id="rId152" Type="http://schemas.openxmlformats.org/officeDocument/2006/relationships/hyperlink" Target="https://www.celebritynetworth.com/richest-businessmen/ceos/mark-pincus-net-worth/" TargetMode="External"/><Relationship Id="rId151" Type="http://schemas.openxmlformats.org/officeDocument/2006/relationships/hyperlink" Target="http://homes.com/" TargetMode="External"/><Relationship Id="rId158" Type="http://schemas.openxmlformats.org/officeDocument/2006/relationships/hyperlink" Target="https://www.celebritynetworth.com/richest-businessmen/ceos/marissa-mayer-net-worth/" TargetMode="External"/><Relationship Id="rId157" Type="http://schemas.openxmlformats.org/officeDocument/2006/relationships/hyperlink" Target="http://homes.com/" TargetMode="External"/><Relationship Id="rId156" Type="http://schemas.openxmlformats.org/officeDocument/2006/relationships/hyperlink" Target="https://www.homes.com/property/2793-glorietta-cir-santa-clara-ca/8fmm2ykrfp59c/" TargetMode="External"/><Relationship Id="rId155" Type="http://schemas.openxmlformats.org/officeDocument/2006/relationships/hyperlink" Target="http://homes.com/" TargetMode="External"/><Relationship Id="rId107" Type="http://schemas.openxmlformats.org/officeDocument/2006/relationships/hyperlink" Target="http://homes.com/" TargetMode="External"/><Relationship Id="rId106" Type="http://schemas.openxmlformats.org/officeDocument/2006/relationships/hyperlink" Target="https://www.homes.com/property/13685-la-paloma-rd-los-altos-hills-ca/fmywnqbsb44wd/" TargetMode="External"/><Relationship Id="rId105" Type="http://schemas.openxmlformats.org/officeDocument/2006/relationships/hyperlink" Target="http://homes.com/" TargetMode="External"/><Relationship Id="rId104" Type="http://schemas.openxmlformats.org/officeDocument/2006/relationships/hyperlink" Target="https://www.homes.com/property/517-alta-ave-santa-monica-ca/vq4nqr9enjgpr/" TargetMode="External"/><Relationship Id="rId109" Type="http://schemas.openxmlformats.org/officeDocument/2006/relationships/hyperlink" Target="https://therealdeal.com/la/2020/05/09/uber-buy-travis-kalanick-behind-43m-bel-air-purchase/" TargetMode="External"/><Relationship Id="rId108" Type="http://schemas.openxmlformats.org/officeDocument/2006/relationships/hyperlink" Target="https://www.yahoo.com/entertainment/whatsapp-co-founder-brian-acton-174840726.html" TargetMode="External"/><Relationship Id="rId103" Type="http://schemas.openxmlformats.org/officeDocument/2006/relationships/hyperlink" Target="https://therealdeal.com/la/2017/02/21/alo-yoga-founder-buys-beverly-hills-house-from-bebe-founder-for-30m/" TargetMode="External"/><Relationship Id="rId102" Type="http://schemas.openxmlformats.org/officeDocument/2006/relationships/hyperlink" Target="http://homes.com/" TargetMode="External"/><Relationship Id="rId101" Type="http://schemas.openxmlformats.org/officeDocument/2006/relationships/hyperlink" Target="https://www.homes.com/property/4512-lin-gate-st-pleasanton-ca/jfjbyjdmsmcgx/" TargetMode="External"/><Relationship Id="rId100" Type="http://schemas.openxmlformats.org/officeDocument/2006/relationships/hyperlink" Target="https://www.yahoo.com/entertainment/billionaire-behdad-eghbali-buys-21-224623408.html" TargetMode="External"/><Relationship Id="rId129" Type="http://schemas.openxmlformats.org/officeDocument/2006/relationships/hyperlink" Target="https://www.forbes.com/sites/emmareynolds/2022/03/09/fashion-nova-ceo-richard-saghian-buys-the-one-megamansion-for-141-million/" TargetMode="External"/><Relationship Id="rId128" Type="http://schemas.openxmlformats.org/officeDocument/2006/relationships/hyperlink" Target="http://homes.com/" TargetMode="External"/><Relationship Id="rId127" Type="http://schemas.openxmlformats.org/officeDocument/2006/relationships/hyperlink" Target="https://www.homes.com/property/2121-webster-st-san-francisco-ca-unit-ph3/0sh6ewt66bwhf/" TargetMode="External"/><Relationship Id="rId126" Type="http://schemas.openxmlformats.org/officeDocument/2006/relationships/hyperlink" Target="https://www.yahoo.com/entertainment/altair-ceo-james-scapa-drops-151321244.html" TargetMode="External"/><Relationship Id="rId121" Type="http://schemas.openxmlformats.org/officeDocument/2006/relationships/hyperlink" Target="https://www.architecturaldigest.com/story/billionaire-snapchat-ceo-evan-spiegel-model-miranda-kerr-la-home" TargetMode="External"/><Relationship Id="rId120" Type="http://schemas.openxmlformats.org/officeDocument/2006/relationships/hyperlink" Target="http://homes.com/" TargetMode="External"/><Relationship Id="rId125" Type="http://schemas.openxmlformats.org/officeDocument/2006/relationships/hyperlink" Target="https://www.mansionglobal.com/articles/tom-ford-drops-39m-on-a-fashionable-los-angeles-home-48537" TargetMode="External"/><Relationship Id="rId124" Type="http://schemas.openxmlformats.org/officeDocument/2006/relationships/hyperlink" Target="https://www.celebritynetworth.com/richest-businessmen/business-executives/joe-lacob-net-worth/" TargetMode="External"/><Relationship Id="rId123" Type="http://schemas.openxmlformats.org/officeDocument/2006/relationships/hyperlink" Target="https://www.celebritynetworth.com/richest-businessmen/business-executives/sheryl-sandberg-net-worth/" TargetMode="External"/><Relationship Id="rId122" Type="http://schemas.openxmlformats.org/officeDocument/2006/relationships/hyperlink" Target="https://www.mansionglobal.com/articles/investor-bruce-karsh-buys-grey-estate-in-l-a-for-68-82m-97050" TargetMode="External"/><Relationship Id="rId95" Type="http://schemas.openxmlformats.org/officeDocument/2006/relationships/hyperlink" Target="http://homes.com/" TargetMode="External"/><Relationship Id="rId94" Type="http://schemas.openxmlformats.org/officeDocument/2006/relationships/hyperlink" Target="https://www.homes.com/property/808-n-beverly-dr-beverly-hills-ca/lgnr8czbm0szq/" TargetMode="External"/><Relationship Id="rId97" Type="http://schemas.openxmlformats.org/officeDocument/2006/relationships/hyperlink" Target="https://palisadesnews.com/private-equity-billionaire-jose-e-feliciano-buys-50-palisades-million-mansion-narrowly-avoids-new-mansion-tax/" TargetMode="External"/><Relationship Id="rId96" Type="http://schemas.openxmlformats.org/officeDocument/2006/relationships/hyperlink" Target="https://palisadesnews.com/private-equity-billionaire-jose-e-feliciano-buys-50-palisades-million-mansion-narrowly-avoids-new-mansion-tax/" TargetMode="External"/><Relationship Id="rId99" Type="http://schemas.openxmlformats.org/officeDocument/2006/relationships/hyperlink" Target="https://www.latimes.com/business/real-estate/story/2020-08-10/quibi-chief-meg-whitman-lists-west-hollywood-condo-for-6-5-million" TargetMode="External"/><Relationship Id="rId98" Type="http://schemas.openxmlformats.org/officeDocument/2006/relationships/hyperlink" Target="https://www.latimes.com/business/real-estate/story/2020-08-10/quibi-chief-meg-whitman-lists-west-hollywood-condo-for-6-5-million" TargetMode="External"/><Relationship Id="rId91" Type="http://schemas.openxmlformats.org/officeDocument/2006/relationships/hyperlink" Target="https://kanebridgenews.com/one-of-americas-biggest-homes-hits-the-market-for-195-million/" TargetMode="External"/><Relationship Id="rId90" Type="http://schemas.openxmlformats.org/officeDocument/2006/relationships/hyperlink" Target="http://homes.com/" TargetMode="External"/><Relationship Id="rId93" Type="http://schemas.openxmlformats.org/officeDocument/2006/relationships/hyperlink" Target="https://www.homes.com/property/808-n-beverly-dr-beverly-hills-ca/lgnr8czbm0szq/" TargetMode="External"/><Relationship Id="rId92" Type="http://schemas.openxmlformats.org/officeDocument/2006/relationships/hyperlink" Target="https://kanebridgenews.com/one-of-americas-biggest-homes-hits-the-market-for-195-million/" TargetMode="External"/><Relationship Id="rId118" Type="http://schemas.openxmlformats.org/officeDocument/2006/relationships/hyperlink" Target="https://www.celebritynetworth.com/articles/celebrity-homes/homeless-billionaire-nicolas-berggruen-is-no-longer-homeless-with-63-million-hearst-estate-purchase/" TargetMode="External"/><Relationship Id="rId117" Type="http://schemas.openxmlformats.org/officeDocument/2006/relationships/hyperlink" Target="https://www.latimes.com/business/realestate/hot-property/la-fi-hotprop-ellen-degeneres-20140707-story.html" TargetMode="External"/><Relationship Id="rId116" Type="http://schemas.openxmlformats.org/officeDocument/2006/relationships/hyperlink" Target="https://www.realtor.com/news/celebrity-real-estate/oprah-winfrey-kamala-harris-homes/" TargetMode="External"/><Relationship Id="rId115" Type="http://schemas.openxmlformats.org/officeDocument/2006/relationships/hyperlink" Target="https://www.mansionglobal.com/articles/mighty-morphin-power-rangers-creator-haim-sabans-malibu-beach-house-gets-a-7-5-million-discount-3b235ba0" TargetMode="External"/><Relationship Id="rId119" Type="http://schemas.openxmlformats.org/officeDocument/2006/relationships/hyperlink" Target="https://www.homes.com/property/200-sea-cliff-ave-san-francisco-ca/6lbnfvv2v66d3/" TargetMode="External"/><Relationship Id="rId110" Type="http://schemas.openxmlformats.org/officeDocument/2006/relationships/hyperlink" Target="https://www.forbes.com/sites/chasewithorn/2026/01/15/los-angeles-billionaire-moves-to-nevada-after-california-threatens-to-tax-wealth/" TargetMode="External"/><Relationship Id="rId114" Type="http://schemas.openxmlformats.org/officeDocument/2006/relationships/hyperlink" Target="https://socketsite.com/archives/2015/11/behind-the-28-5m-fixer-under-wraps-on-billionaires-row.html" TargetMode="External"/><Relationship Id="rId113" Type="http://schemas.openxmlformats.org/officeDocument/2006/relationships/hyperlink" Target="https://www.forbes.com/sites/chasewithorn/2026/01/15/los-angeles-billionaire-moves-to-nevada-after-california-threatens-to-tax-wealth/" TargetMode="External"/><Relationship Id="rId112" Type="http://schemas.openxmlformats.org/officeDocument/2006/relationships/hyperlink" Target="https://www.foxbusiness.com/politics/tech-billionaires-threaten-flee-california-over-proposed-5-wealth-tax" TargetMode="External"/><Relationship Id="rId111" Type="http://schemas.openxmlformats.org/officeDocument/2006/relationships/hyperlink" Target="https://www.forbes.com/sites/iainmartin/2024/07/22/billionaire-palmer-luckey-sues-contractor-after-being-trapped-in-his-mansions-car-elevator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2.5"/>
    <col customWidth="1" min="3" max="3" width="12.0"/>
    <col customWidth="1" min="4" max="4" width="20.5"/>
    <col customWidth="1" min="5" max="5" width="15.25"/>
    <col customWidth="1" min="6" max="6" width="8.75"/>
    <col customWidth="1" min="7" max="7" width="14.38"/>
    <col customWidth="1" min="8" max="8" width="17.25"/>
    <col customWidth="1" min="9" max="9" width="28.75"/>
    <col customWidth="1" min="10" max="12" width="26.0"/>
    <col customWidth="1" min="13" max="13" width="77.5"/>
    <col customWidth="1" min="14" max="14" width="12.75"/>
    <col customWidth="1" min="15" max="31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14</v>
      </c>
      <c r="Q1" s="2" t="s">
        <v>14</v>
      </c>
      <c r="R1" s="2" t="s">
        <v>14</v>
      </c>
      <c r="S1" s="2" t="s">
        <v>14</v>
      </c>
      <c r="T1" s="2" t="s">
        <v>14</v>
      </c>
      <c r="U1" s="2" t="s">
        <v>14</v>
      </c>
      <c r="V1" s="2" t="s">
        <v>14</v>
      </c>
      <c r="W1" s="2" t="s">
        <v>14</v>
      </c>
      <c r="X1" s="2" t="s">
        <v>14</v>
      </c>
      <c r="Y1" s="2" t="s">
        <v>14</v>
      </c>
      <c r="Z1" s="2" t="s">
        <v>14</v>
      </c>
      <c r="AA1" s="2" t="s">
        <v>14</v>
      </c>
      <c r="AB1" s="2" t="s">
        <v>14</v>
      </c>
      <c r="AC1" s="2" t="s">
        <v>14</v>
      </c>
      <c r="AD1" s="2" t="s">
        <v>14</v>
      </c>
      <c r="AE1" s="2" t="s">
        <v>14</v>
      </c>
    </row>
    <row r="2" ht="14.25" customHeight="1">
      <c r="A2" s="2">
        <v>1.0</v>
      </c>
      <c r="B2" s="2" t="s">
        <v>15</v>
      </c>
      <c r="C2" s="2" t="s">
        <v>16</v>
      </c>
      <c r="D2" s="3">
        <v>2.562E11</v>
      </c>
      <c r="E2" s="2" t="s">
        <v>17</v>
      </c>
      <c r="F2" s="4" t="s">
        <v>18</v>
      </c>
      <c r="G2" s="3">
        <v>1.015E8</v>
      </c>
      <c r="H2" s="5" t="s">
        <v>19</v>
      </c>
      <c r="I2" s="4">
        <v>2024.0</v>
      </c>
      <c r="M2" s="4" t="s">
        <v>20</v>
      </c>
      <c r="N2" s="6" t="s">
        <v>21</v>
      </c>
    </row>
    <row r="3" ht="14.25" customHeight="1">
      <c r="A3" s="2">
        <v>2.0</v>
      </c>
      <c r="B3" s="2" t="s">
        <v>22</v>
      </c>
      <c r="C3" s="2" t="s">
        <v>23</v>
      </c>
      <c r="D3" s="3">
        <v>2.461E11</v>
      </c>
      <c r="E3" s="2" t="s">
        <v>24</v>
      </c>
      <c r="F3" s="4" t="s">
        <v>18</v>
      </c>
      <c r="G3" s="3">
        <v>4.5E7</v>
      </c>
      <c r="H3" s="5" t="s">
        <v>25</v>
      </c>
      <c r="I3" s="4">
        <v>2025.0</v>
      </c>
      <c r="J3" s="4"/>
      <c r="K3" s="4"/>
      <c r="L3" s="4"/>
      <c r="M3" s="4" t="s">
        <v>26</v>
      </c>
      <c r="N3" s="5" t="s">
        <v>27</v>
      </c>
    </row>
    <row r="4" ht="14.25" customHeight="1">
      <c r="A4" s="2">
        <v>3.0</v>
      </c>
      <c r="B4" s="2" t="s">
        <v>28</v>
      </c>
      <c r="C4" s="2" t="s">
        <v>29</v>
      </c>
      <c r="D4" s="3">
        <v>2.364E11</v>
      </c>
      <c r="E4" s="2" t="s">
        <v>30</v>
      </c>
      <c r="F4" s="4" t="s">
        <v>18</v>
      </c>
      <c r="G4" s="3">
        <v>3.5E7</v>
      </c>
      <c r="I4" s="4">
        <v>2025.0</v>
      </c>
      <c r="J4" s="4"/>
      <c r="K4" s="4"/>
      <c r="L4" s="4"/>
      <c r="N4" s="5" t="s">
        <v>31</v>
      </c>
    </row>
    <row r="5" ht="14.25" customHeight="1">
      <c r="A5" s="2">
        <v>4.0</v>
      </c>
      <c r="B5" s="2" t="s">
        <v>32</v>
      </c>
      <c r="C5" s="2" t="s">
        <v>33</v>
      </c>
      <c r="D5" s="3">
        <v>2.251E11</v>
      </c>
      <c r="E5" s="2" t="s">
        <v>17</v>
      </c>
      <c r="F5" s="4" t="s">
        <v>34</v>
      </c>
      <c r="G5" s="3">
        <v>1.12E8</v>
      </c>
      <c r="H5" s="5" t="s">
        <v>35</v>
      </c>
      <c r="I5" s="4">
        <v>2025.0</v>
      </c>
      <c r="J5" s="3">
        <v>3.0E8</v>
      </c>
      <c r="K5" s="4" t="s">
        <v>36</v>
      </c>
      <c r="L5" s="6" t="s">
        <v>37</v>
      </c>
      <c r="M5" s="4" t="s">
        <v>38</v>
      </c>
    </row>
    <row r="6" ht="14.25" customHeight="1">
      <c r="A6" s="2">
        <v>5.0</v>
      </c>
      <c r="B6" s="2" t="s">
        <v>39</v>
      </c>
      <c r="C6" s="2" t="s">
        <v>40</v>
      </c>
      <c r="D6" s="3">
        <v>1.626E11</v>
      </c>
      <c r="E6" s="2" t="s">
        <v>30</v>
      </c>
      <c r="F6" s="4" t="s">
        <v>34</v>
      </c>
      <c r="G6" s="3">
        <v>6900000.0</v>
      </c>
      <c r="H6" s="5" t="s">
        <v>41</v>
      </c>
      <c r="I6" s="4">
        <v>2025.0</v>
      </c>
      <c r="J6" s="3">
        <v>5.24E7</v>
      </c>
      <c r="K6" s="4">
        <v>2004.0</v>
      </c>
      <c r="L6" s="6" t="s">
        <v>42</v>
      </c>
      <c r="M6" s="4" t="s">
        <v>43</v>
      </c>
      <c r="N6" s="5" t="s">
        <v>44</v>
      </c>
    </row>
    <row r="7" ht="14.25" customHeight="1">
      <c r="A7" s="2">
        <v>6.0</v>
      </c>
      <c r="B7" s="2" t="s">
        <v>45</v>
      </c>
      <c r="C7" s="2" t="s">
        <v>46</v>
      </c>
      <c r="D7" s="3">
        <v>3.56E10</v>
      </c>
      <c r="E7" s="4" t="s">
        <v>47</v>
      </c>
      <c r="F7" s="4" t="s">
        <v>34</v>
      </c>
      <c r="G7" s="3">
        <v>1.1E8</v>
      </c>
      <c r="I7" s="4">
        <v>2025.0</v>
      </c>
      <c r="J7" s="3">
        <v>6.0E8</v>
      </c>
      <c r="K7" s="4">
        <v>2025.0</v>
      </c>
      <c r="L7" s="6" t="s">
        <v>48</v>
      </c>
      <c r="M7" s="4" t="s">
        <v>49</v>
      </c>
    </row>
    <row r="8" ht="14.25" customHeight="1">
      <c r="A8" s="2">
        <v>7.0</v>
      </c>
      <c r="B8" s="2" t="s">
        <v>50</v>
      </c>
      <c r="C8" s="2" t="s">
        <v>51</v>
      </c>
      <c r="D8" s="3">
        <v>3.2E10</v>
      </c>
      <c r="E8" s="2" t="s">
        <v>52</v>
      </c>
      <c r="F8" s="4" t="s">
        <v>34</v>
      </c>
      <c r="G8" s="3">
        <v>2.015E7</v>
      </c>
      <c r="H8" s="5" t="s">
        <v>53</v>
      </c>
      <c r="I8" s="4">
        <v>2024.0</v>
      </c>
      <c r="J8" s="3">
        <v>2.015E7</v>
      </c>
      <c r="K8" s="4">
        <v>2024.0</v>
      </c>
      <c r="L8" s="5" t="s">
        <v>53</v>
      </c>
      <c r="M8" s="4" t="s">
        <v>54</v>
      </c>
    </row>
    <row r="9" ht="14.25" customHeight="1">
      <c r="A9" s="2">
        <v>8.0</v>
      </c>
      <c r="B9" s="2" t="s">
        <v>55</v>
      </c>
      <c r="C9" s="2" t="s">
        <v>56</v>
      </c>
      <c r="D9" s="3">
        <v>2.67E10</v>
      </c>
      <c r="E9" s="2" t="s">
        <v>47</v>
      </c>
      <c r="F9" s="4" t="s">
        <v>18</v>
      </c>
      <c r="G9" s="3">
        <v>1.15E7</v>
      </c>
      <c r="H9" s="5" t="s">
        <v>57</v>
      </c>
      <c r="I9" s="4">
        <v>2018.0</v>
      </c>
      <c r="J9" s="3">
        <v>7.72E7</v>
      </c>
      <c r="K9" s="4" t="s">
        <v>58</v>
      </c>
      <c r="L9" s="4" t="s">
        <v>59</v>
      </c>
      <c r="N9" s="5" t="s">
        <v>60</v>
      </c>
    </row>
    <row r="10" ht="14.25" customHeight="1">
      <c r="A10" s="2">
        <v>9.0</v>
      </c>
      <c r="B10" s="2" t="s">
        <v>61</v>
      </c>
      <c r="C10" s="2" t="s">
        <v>62</v>
      </c>
      <c r="D10" s="3">
        <v>2.55E10</v>
      </c>
      <c r="E10" s="2" t="s">
        <v>63</v>
      </c>
      <c r="F10" s="4" t="s">
        <v>34</v>
      </c>
      <c r="G10" s="3">
        <v>2.155E7</v>
      </c>
      <c r="H10" s="5" t="s">
        <v>64</v>
      </c>
      <c r="I10" s="4">
        <v>2024.0</v>
      </c>
      <c r="M10" s="4" t="s">
        <v>65</v>
      </c>
    </row>
    <row r="11" ht="14.25" customHeight="1">
      <c r="A11" s="2">
        <v>10.0</v>
      </c>
      <c r="B11" s="2" t="s">
        <v>66</v>
      </c>
      <c r="C11" s="2" t="s">
        <v>67</v>
      </c>
      <c r="D11" s="3">
        <v>2.5E10</v>
      </c>
      <c r="E11" s="2" t="s">
        <v>68</v>
      </c>
      <c r="F11" s="4" t="s">
        <v>34</v>
      </c>
      <c r="M11" s="7" t="s">
        <v>69</v>
      </c>
    </row>
    <row r="12" ht="14.25" customHeight="1">
      <c r="A12" s="2">
        <v>11.0</v>
      </c>
      <c r="B12" s="2" t="s">
        <v>70</v>
      </c>
      <c r="C12" s="2" t="s">
        <v>71</v>
      </c>
      <c r="D12" s="3">
        <v>2.19E10</v>
      </c>
      <c r="E12" s="2" t="s">
        <v>72</v>
      </c>
      <c r="F12" s="4" t="s">
        <v>34</v>
      </c>
      <c r="G12" s="3">
        <v>1.9777777E7</v>
      </c>
      <c r="H12" s="5" t="s">
        <v>73</v>
      </c>
      <c r="I12" s="4">
        <v>2010.0</v>
      </c>
      <c r="J12" s="3">
        <v>1.9777777E7</v>
      </c>
      <c r="K12" s="4">
        <v>2010.0</v>
      </c>
      <c r="L12" s="5" t="s">
        <v>73</v>
      </c>
    </row>
    <row r="13" ht="14.25" customHeight="1">
      <c r="A13" s="2">
        <v>12.0</v>
      </c>
      <c r="B13" s="2" t="s">
        <v>74</v>
      </c>
      <c r="C13" s="2" t="s">
        <v>75</v>
      </c>
      <c r="D13" s="3">
        <v>2.0E10</v>
      </c>
      <c r="E13" s="2" t="s">
        <v>24</v>
      </c>
      <c r="F13" s="4" t="s">
        <v>34</v>
      </c>
    </row>
    <row r="14" ht="14.25" customHeight="1">
      <c r="A14" s="2">
        <v>13.0</v>
      </c>
      <c r="B14" s="2" t="s">
        <v>76</v>
      </c>
      <c r="C14" s="2" t="s">
        <v>77</v>
      </c>
      <c r="D14" s="3">
        <v>1.92E10</v>
      </c>
      <c r="E14" s="2" t="s">
        <v>52</v>
      </c>
      <c r="F14" s="4" t="s">
        <v>34</v>
      </c>
      <c r="G14" s="3"/>
      <c r="I14" s="4"/>
      <c r="J14" s="4"/>
      <c r="K14" s="4"/>
      <c r="L14" s="4"/>
    </row>
    <row r="15" ht="14.25" customHeight="1">
      <c r="A15" s="2">
        <v>14.0</v>
      </c>
      <c r="B15" s="2" t="s">
        <v>78</v>
      </c>
      <c r="C15" s="2" t="s">
        <v>79</v>
      </c>
      <c r="D15" s="3">
        <v>1.79E10</v>
      </c>
      <c r="E15" s="2" t="s">
        <v>80</v>
      </c>
      <c r="F15" s="4" t="s">
        <v>34</v>
      </c>
      <c r="G15" s="3">
        <v>5.4E7</v>
      </c>
      <c r="H15" s="5" t="s">
        <v>81</v>
      </c>
      <c r="I15" s="4">
        <v>2023.0</v>
      </c>
      <c r="J15" s="4"/>
      <c r="K15" s="4"/>
      <c r="L15" s="4"/>
    </row>
    <row r="16" ht="14.25" customHeight="1">
      <c r="A16" s="2">
        <v>15.0</v>
      </c>
      <c r="B16" s="2" t="s">
        <v>82</v>
      </c>
      <c r="C16" s="2" t="s">
        <v>83</v>
      </c>
      <c r="D16" s="3">
        <v>1.75E10</v>
      </c>
      <c r="E16" s="2" t="s">
        <v>84</v>
      </c>
      <c r="F16" s="4" t="s">
        <v>34</v>
      </c>
      <c r="G16" s="3">
        <v>7250000.0</v>
      </c>
      <c r="H16" s="5" t="s">
        <v>85</v>
      </c>
      <c r="I16" s="4">
        <v>2011.0</v>
      </c>
      <c r="J16" s="4"/>
      <c r="K16" s="4"/>
      <c r="L16" s="4"/>
    </row>
    <row r="17" ht="14.25" customHeight="1">
      <c r="A17" s="2">
        <v>16.0</v>
      </c>
      <c r="B17" s="2" t="s">
        <v>86</v>
      </c>
      <c r="C17" s="2" t="s">
        <v>83</v>
      </c>
      <c r="D17" s="3">
        <v>1.75E10</v>
      </c>
      <c r="E17" s="2" t="s">
        <v>87</v>
      </c>
      <c r="F17" s="4" t="s">
        <v>34</v>
      </c>
    </row>
    <row r="18" ht="14.25" customHeight="1">
      <c r="A18" s="2">
        <v>17.0</v>
      </c>
      <c r="B18" s="2" t="s">
        <v>88</v>
      </c>
      <c r="C18" s="2" t="s">
        <v>89</v>
      </c>
      <c r="D18" s="3">
        <v>1.71E10</v>
      </c>
      <c r="E18" s="2" t="s">
        <v>90</v>
      </c>
      <c r="F18" s="4" t="s">
        <v>18</v>
      </c>
      <c r="G18" s="3">
        <v>1.87E8</v>
      </c>
      <c r="H18" s="5" t="s">
        <v>91</v>
      </c>
      <c r="I18" s="4">
        <v>2021.0</v>
      </c>
      <c r="J18" s="3">
        <v>4.0E8</v>
      </c>
      <c r="K18" s="4">
        <v>2021.0</v>
      </c>
      <c r="L18" s="6" t="s">
        <v>92</v>
      </c>
      <c r="M18" s="4" t="s">
        <v>93</v>
      </c>
      <c r="N18" s="5" t="s">
        <v>94</v>
      </c>
    </row>
    <row r="19" ht="14.25" customHeight="1">
      <c r="A19" s="2">
        <v>18.0</v>
      </c>
      <c r="B19" s="2" t="s">
        <v>95</v>
      </c>
      <c r="C19" s="2" t="s">
        <v>96</v>
      </c>
      <c r="D19" s="3">
        <v>1.59E10</v>
      </c>
      <c r="E19" s="2" t="s">
        <v>90</v>
      </c>
      <c r="F19" s="4" t="s">
        <v>34</v>
      </c>
      <c r="G19" s="3">
        <v>2.908416E7</v>
      </c>
      <c r="H19" s="5" t="s">
        <v>97</v>
      </c>
      <c r="I19" s="4">
        <v>2020.0</v>
      </c>
      <c r="J19" s="4"/>
      <c r="K19" s="4"/>
      <c r="L19" s="4"/>
    </row>
    <row r="20" ht="14.25" customHeight="1">
      <c r="A20" s="2">
        <v>19.0</v>
      </c>
      <c r="B20" s="2" t="s">
        <v>98</v>
      </c>
      <c r="C20" s="2" t="s">
        <v>99</v>
      </c>
      <c r="D20" s="3">
        <v>1.4E10</v>
      </c>
      <c r="E20" s="2" t="s">
        <v>100</v>
      </c>
      <c r="F20" s="4" t="s">
        <v>34</v>
      </c>
      <c r="G20" s="3">
        <v>7.0E7</v>
      </c>
      <c r="H20" s="5" t="s">
        <v>101</v>
      </c>
      <c r="I20" s="4">
        <v>2024.0</v>
      </c>
      <c r="J20" s="3">
        <v>2.42E8</v>
      </c>
      <c r="K20" s="4" t="s">
        <v>102</v>
      </c>
      <c r="L20" s="8" t="s">
        <v>103</v>
      </c>
    </row>
    <row r="21" ht="14.25" customHeight="1">
      <c r="A21" s="2">
        <v>20.0</v>
      </c>
      <c r="B21" s="2" t="s">
        <v>104</v>
      </c>
      <c r="C21" s="2" t="s">
        <v>105</v>
      </c>
      <c r="D21" s="3">
        <v>1.38E10</v>
      </c>
      <c r="E21" s="2" t="s">
        <v>106</v>
      </c>
      <c r="F21" s="4" t="s">
        <v>34</v>
      </c>
    </row>
    <row r="22" ht="14.25" customHeight="1">
      <c r="A22" s="2">
        <v>21.0</v>
      </c>
      <c r="B22" s="2" t="s">
        <v>107</v>
      </c>
      <c r="C22" s="2" t="s">
        <v>108</v>
      </c>
      <c r="D22" s="3">
        <v>1.31E10</v>
      </c>
      <c r="E22" s="4" t="s">
        <v>47</v>
      </c>
      <c r="F22" s="4" t="s">
        <v>34</v>
      </c>
      <c r="G22" s="3">
        <v>6.0E7</v>
      </c>
      <c r="H22" s="5" t="s">
        <v>109</v>
      </c>
      <c r="I22" s="4">
        <v>2025.0</v>
      </c>
      <c r="J22" s="3">
        <v>1.0E8</v>
      </c>
      <c r="K22" s="4">
        <v>2025.0</v>
      </c>
      <c r="L22" s="5" t="s">
        <v>109</v>
      </c>
      <c r="M22" s="4" t="s">
        <v>110</v>
      </c>
    </row>
    <row r="23" ht="14.25" customHeight="1">
      <c r="A23" s="2">
        <v>22.0</v>
      </c>
      <c r="B23" s="2" t="s">
        <v>111</v>
      </c>
      <c r="C23" s="2" t="s">
        <v>112</v>
      </c>
      <c r="D23" s="3">
        <v>1.25E10</v>
      </c>
      <c r="E23" s="2" t="s">
        <v>113</v>
      </c>
      <c r="F23" s="4" t="s">
        <v>34</v>
      </c>
      <c r="G23" s="3">
        <v>1.7100579E7</v>
      </c>
      <c r="H23" s="5" t="s">
        <v>114</v>
      </c>
      <c r="I23" s="4">
        <v>2026.0</v>
      </c>
      <c r="J23" s="3">
        <v>1.7100579E7</v>
      </c>
      <c r="K23" s="4">
        <v>2026.0</v>
      </c>
      <c r="L23" s="9" t="s">
        <v>114</v>
      </c>
      <c r="M23" s="7" t="s">
        <v>115</v>
      </c>
    </row>
    <row r="24" ht="14.25" customHeight="1">
      <c r="A24" s="2">
        <v>23.0</v>
      </c>
      <c r="B24" s="2" t="s">
        <v>116</v>
      </c>
      <c r="C24" s="2" t="s">
        <v>117</v>
      </c>
      <c r="D24" s="3">
        <v>1.16E10</v>
      </c>
      <c r="E24" s="4" t="s">
        <v>24</v>
      </c>
      <c r="F24" s="4" t="s">
        <v>34</v>
      </c>
      <c r="G24" s="3">
        <v>6.33E7</v>
      </c>
      <c r="H24" s="5" t="s">
        <v>118</v>
      </c>
      <c r="I24" s="4">
        <v>2020.0</v>
      </c>
      <c r="J24" s="3">
        <v>8.61E7</v>
      </c>
      <c r="K24" s="4" t="s">
        <v>119</v>
      </c>
      <c r="L24" s="6" t="s">
        <v>118</v>
      </c>
    </row>
    <row r="25" ht="14.25" customHeight="1">
      <c r="A25" s="2">
        <v>24.0</v>
      </c>
      <c r="B25" s="2" t="s">
        <v>120</v>
      </c>
      <c r="C25" s="2" t="s">
        <v>121</v>
      </c>
      <c r="D25" s="3">
        <v>1.12E10</v>
      </c>
      <c r="E25" s="2" t="s">
        <v>100</v>
      </c>
      <c r="F25" s="4" t="s">
        <v>34</v>
      </c>
      <c r="G25" s="3">
        <v>800000.0</v>
      </c>
      <c r="H25" s="5" t="s">
        <v>122</v>
      </c>
      <c r="I25" s="4">
        <v>2011.0</v>
      </c>
      <c r="J25" s="4"/>
      <c r="K25" s="4"/>
      <c r="L25" s="4"/>
      <c r="M25" s="4" t="s">
        <v>123</v>
      </c>
    </row>
    <row r="26" ht="14.25" customHeight="1">
      <c r="A26" s="2">
        <v>25.0</v>
      </c>
      <c r="B26" s="2" t="s">
        <v>124</v>
      </c>
      <c r="C26" s="2" t="s">
        <v>125</v>
      </c>
      <c r="D26" s="3">
        <v>1.07E10</v>
      </c>
      <c r="E26" s="4" t="s">
        <v>126</v>
      </c>
      <c r="F26" s="4" t="s">
        <v>34</v>
      </c>
      <c r="G26" s="3">
        <v>1.0E7</v>
      </c>
      <c r="H26" s="5" t="s">
        <v>127</v>
      </c>
      <c r="I26" s="4">
        <v>2026.0</v>
      </c>
      <c r="J26" s="3">
        <v>8.0E7</v>
      </c>
      <c r="K26" s="4" t="s">
        <v>128</v>
      </c>
      <c r="L26" s="5" t="s">
        <v>127</v>
      </c>
    </row>
    <row r="27" ht="14.25" customHeight="1">
      <c r="A27" s="2">
        <v>26.0</v>
      </c>
      <c r="B27" s="2" t="s">
        <v>129</v>
      </c>
      <c r="C27" s="2" t="s">
        <v>130</v>
      </c>
      <c r="D27" s="3">
        <v>1.02E10</v>
      </c>
      <c r="E27" s="2" t="s">
        <v>100</v>
      </c>
      <c r="F27" s="4" t="s">
        <v>34</v>
      </c>
      <c r="G27" s="3">
        <v>1.35E7</v>
      </c>
      <c r="H27" s="5" t="s">
        <v>131</v>
      </c>
      <c r="I27" s="4">
        <v>2025.0</v>
      </c>
      <c r="J27" s="3">
        <v>1.35E7</v>
      </c>
      <c r="K27" s="4">
        <v>2025.0</v>
      </c>
      <c r="L27" s="6" t="s">
        <v>132</v>
      </c>
    </row>
    <row r="28" ht="14.25" customHeight="1">
      <c r="A28" s="2">
        <v>27.0</v>
      </c>
      <c r="B28" s="2" t="s">
        <v>133</v>
      </c>
      <c r="C28" s="2" t="s">
        <v>134</v>
      </c>
      <c r="D28" s="3">
        <v>1.01E10</v>
      </c>
      <c r="E28" s="4" t="s">
        <v>47</v>
      </c>
      <c r="F28" s="4" t="s">
        <v>34</v>
      </c>
      <c r="G28" s="3">
        <v>1.33E8</v>
      </c>
      <c r="H28" s="5" t="s">
        <v>135</v>
      </c>
      <c r="I28" s="4">
        <v>2022.0</v>
      </c>
      <c r="J28" s="3">
        <v>1.33E8</v>
      </c>
      <c r="K28" s="4">
        <v>2022.0</v>
      </c>
      <c r="L28" s="5" t="s">
        <v>135</v>
      </c>
    </row>
    <row r="29" ht="14.25" customHeight="1">
      <c r="A29" s="2">
        <v>28.0</v>
      </c>
      <c r="B29" s="2" t="s">
        <v>136</v>
      </c>
      <c r="C29" s="2" t="s">
        <v>137</v>
      </c>
      <c r="D29" s="3">
        <v>1.0E10</v>
      </c>
      <c r="E29" s="2" t="s">
        <v>47</v>
      </c>
      <c r="F29" s="4" t="s">
        <v>34</v>
      </c>
    </row>
    <row r="30" ht="14.25" customHeight="1">
      <c r="A30" s="2">
        <v>29.0</v>
      </c>
      <c r="B30" s="2" t="s">
        <v>138</v>
      </c>
      <c r="C30" s="2" t="s">
        <v>137</v>
      </c>
      <c r="D30" s="3">
        <v>1.0E10</v>
      </c>
      <c r="E30" s="2" t="s">
        <v>80</v>
      </c>
      <c r="F30" s="4" t="s">
        <v>34</v>
      </c>
      <c r="G30" s="3">
        <v>1.0E8</v>
      </c>
      <c r="H30" s="5" t="s">
        <v>139</v>
      </c>
      <c r="I30" s="4">
        <v>2016.0</v>
      </c>
      <c r="J30" s="3">
        <v>1.38E8</v>
      </c>
      <c r="K30" s="4" t="s">
        <v>140</v>
      </c>
      <c r="L30" s="4" t="s">
        <v>141</v>
      </c>
    </row>
    <row r="31" ht="14.25" customHeight="1">
      <c r="A31" s="2">
        <v>30.0</v>
      </c>
      <c r="B31" s="2" t="s">
        <v>142</v>
      </c>
      <c r="C31" s="2" t="s">
        <v>143</v>
      </c>
      <c r="D31" s="3">
        <v>9.8E9</v>
      </c>
      <c r="F31" s="4" t="s">
        <v>34</v>
      </c>
    </row>
    <row r="32" ht="14.25" customHeight="1">
      <c r="A32" s="2">
        <v>31.0</v>
      </c>
      <c r="B32" s="2" t="s">
        <v>144</v>
      </c>
      <c r="C32" s="2" t="s">
        <v>145</v>
      </c>
      <c r="D32" s="3">
        <v>9.6E9</v>
      </c>
      <c r="E32" s="2" t="s">
        <v>100</v>
      </c>
      <c r="F32" s="4" t="s">
        <v>34</v>
      </c>
      <c r="N32" s="5" t="s">
        <v>146</v>
      </c>
    </row>
    <row r="33" ht="14.25" customHeight="1">
      <c r="A33" s="2">
        <v>32.0</v>
      </c>
      <c r="B33" s="2" t="s">
        <v>147</v>
      </c>
      <c r="C33" s="2" t="s">
        <v>148</v>
      </c>
      <c r="D33" s="3">
        <v>9.3E9</v>
      </c>
      <c r="E33" s="2" t="s">
        <v>100</v>
      </c>
      <c r="F33" s="4" t="s">
        <v>34</v>
      </c>
      <c r="G33" s="3">
        <v>1.8E7</v>
      </c>
      <c r="H33" s="5" t="s">
        <v>149</v>
      </c>
      <c r="I33" s="4">
        <v>2009.0</v>
      </c>
      <c r="J33" s="4"/>
      <c r="K33" s="4"/>
      <c r="L33" s="4"/>
    </row>
    <row r="34" ht="14.25" customHeight="1">
      <c r="A34" s="2">
        <v>33.0</v>
      </c>
      <c r="B34" s="2" t="s">
        <v>150</v>
      </c>
      <c r="C34" s="2" t="s">
        <v>151</v>
      </c>
      <c r="D34" s="3">
        <v>9.2E9</v>
      </c>
      <c r="E34" s="2" t="s">
        <v>80</v>
      </c>
      <c r="F34" s="4" t="s">
        <v>34</v>
      </c>
      <c r="G34" s="3">
        <v>6.8E7</v>
      </c>
      <c r="H34" s="5" t="s">
        <v>152</v>
      </c>
      <c r="I34" s="4">
        <v>2020.0</v>
      </c>
      <c r="J34" s="3">
        <v>1.32E8</v>
      </c>
      <c r="K34" s="4" t="s">
        <v>153</v>
      </c>
      <c r="L34" s="10" t="s">
        <v>154</v>
      </c>
    </row>
    <row r="35" ht="14.25" customHeight="1">
      <c r="A35" s="2">
        <v>34.0</v>
      </c>
      <c r="B35" s="2" t="s">
        <v>155</v>
      </c>
      <c r="C35" s="2" t="s">
        <v>156</v>
      </c>
      <c r="D35" s="3">
        <v>9.1E9</v>
      </c>
      <c r="E35" s="2" t="s">
        <v>100</v>
      </c>
      <c r="F35" s="4" t="s">
        <v>34</v>
      </c>
    </row>
    <row r="36" ht="14.25" customHeight="1">
      <c r="A36" s="2">
        <v>35.0</v>
      </c>
      <c r="B36" s="2" t="s">
        <v>157</v>
      </c>
      <c r="C36" s="2" t="s">
        <v>158</v>
      </c>
      <c r="D36" s="3">
        <v>8.6E9</v>
      </c>
      <c r="E36" s="2" t="s">
        <v>159</v>
      </c>
      <c r="F36" s="4" t="s">
        <v>18</v>
      </c>
      <c r="M36" s="4" t="s">
        <v>160</v>
      </c>
      <c r="N36" s="8" t="s">
        <v>161</v>
      </c>
    </row>
    <row r="37" ht="14.25" customHeight="1">
      <c r="A37" s="2">
        <v>36.0</v>
      </c>
      <c r="B37" s="2" t="s">
        <v>162</v>
      </c>
      <c r="C37" s="2" t="s">
        <v>158</v>
      </c>
      <c r="D37" s="3">
        <v>8.6E9</v>
      </c>
      <c r="E37" s="2" t="s">
        <v>163</v>
      </c>
      <c r="F37" s="4" t="s">
        <v>34</v>
      </c>
    </row>
    <row r="38" ht="14.25" customHeight="1">
      <c r="A38" s="2">
        <v>37.0</v>
      </c>
      <c r="B38" s="2" t="s">
        <v>164</v>
      </c>
      <c r="C38" s="2" t="s">
        <v>165</v>
      </c>
      <c r="D38" s="3">
        <v>8.1E9</v>
      </c>
      <c r="E38" s="2" t="s">
        <v>166</v>
      </c>
      <c r="F38" s="4" t="s">
        <v>18</v>
      </c>
      <c r="G38" s="3">
        <v>1.0659988E7</v>
      </c>
      <c r="H38" s="5" t="s">
        <v>167</v>
      </c>
      <c r="I38" s="4">
        <v>2026.0</v>
      </c>
      <c r="J38" s="3">
        <v>5.13E7</v>
      </c>
      <c r="K38" s="4" t="s">
        <v>168</v>
      </c>
      <c r="L38" s="4" t="s">
        <v>169</v>
      </c>
      <c r="M38" s="7" t="s">
        <v>170</v>
      </c>
      <c r="N38" s="5" t="s">
        <v>171</v>
      </c>
    </row>
    <row r="39" ht="14.25" customHeight="1">
      <c r="A39" s="2">
        <v>38.0</v>
      </c>
      <c r="B39" s="2" t="s">
        <v>172</v>
      </c>
      <c r="C39" s="2" t="s">
        <v>173</v>
      </c>
      <c r="D39" s="3">
        <v>7.8E9</v>
      </c>
      <c r="E39" s="2" t="s">
        <v>17</v>
      </c>
      <c r="F39" s="4" t="s">
        <v>34</v>
      </c>
      <c r="G39" s="3">
        <v>8683775.0</v>
      </c>
      <c r="H39" s="5" t="s">
        <v>174</v>
      </c>
      <c r="I39" s="4">
        <v>2026.0</v>
      </c>
      <c r="J39" s="3">
        <v>8683775.0</v>
      </c>
      <c r="K39" s="4">
        <v>2026.0</v>
      </c>
      <c r="L39" s="6" t="s">
        <v>174</v>
      </c>
      <c r="M39" s="7" t="s">
        <v>175</v>
      </c>
    </row>
    <row r="40" ht="14.25" customHeight="1">
      <c r="A40" s="2">
        <v>39.0</v>
      </c>
      <c r="B40" s="2" t="s">
        <v>176</v>
      </c>
      <c r="C40" s="2" t="s">
        <v>177</v>
      </c>
      <c r="D40" s="3">
        <v>7.7E9</v>
      </c>
      <c r="E40" s="2" t="s">
        <v>100</v>
      </c>
      <c r="F40" s="4" t="s">
        <v>34</v>
      </c>
      <c r="G40" s="3">
        <v>1.06E7</v>
      </c>
      <c r="H40" s="5" t="s">
        <v>178</v>
      </c>
      <c r="I40" s="4">
        <v>2002.0</v>
      </c>
      <c r="J40" s="3">
        <v>1.06E7</v>
      </c>
      <c r="K40" s="4">
        <v>2002.0</v>
      </c>
      <c r="L40" s="5" t="s">
        <v>178</v>
      </c>
      <c r="N40" s="5" t="s">
        <v>179</v>
      </c>
    </row>
    <row r="41" ht="14.25" customHeight="1">
      <c r="A41" s="2">
        <v>40.0</v>
      </c>
      <c r="B41" s="2" t="s">
        <v>180</v>
      </c>
      <c r="C41" s="2" t="s">
        <v>181</v>
      </c>
      <c r="D41" s="3">
        <v>7.6E9</v>
      </c>
      <c r="E41" s="4" t="s">
        <v>47</v>
      </c>
      <c r="F41" s="4" t="s">
        <v>34</v>
      </c>
      <c r="G41" s="11">
        <v>8107000.0</v>
      </c>
      <c r="H41" s="5" t="s">
        <v>182</v>
      </c>
      <c r="I41" s="4">
        <v>2026.0</v>
      </c>
      <c r="J41" s="11">
        <v>8107000.0</v>
      </c>
      <c r="K41" s="4">
        <v>2026.0</v>
      </c>
      <c r="L41" s="5" t="s">
        <v>182</v>
      </c>
      <c r="M41" s="6" t="s">
        <v>183</v>
      </c>
    </row>
    <row r="42" ht="14.25" customHeight="1">
      <c r="A42" s="2">
        <v>41.0</v>
      </c>
      <c r="B42" s="2" t="s">
        <v>184</v>
      </c>
      <c r="C42" s="2" t="s">
        <v>185</v>
      </c>
      <c r="D42" s="3">
        <v>7.4E9</v>
      </c>
      <c r="E42" s="2" t="s">
        <v>47</v>
      </c>
      <c r="F42" s="4" t="s">
        <v>34</v>
      </c>
      <c r="G42" s="3">
        <v>1.02E8</v>
      </c>
      <c r="H42" s="5" t="s">
        <v>186</v>
      </c>
      <c r="I42" s="4">
        <v>2014.0</v>
      </c>
      <c r="J42" s="3">
        <v>1.7975E8</v>
      </c>
      <c r="K42" s="4" t="s">
        <v>187</v>
      </c>
      <c r="L42" s="4" t="s">
        <v>188</v>
      </c>
    </row>
    <row r="43" ht="14.25" customHeight="1">
      <c r="A43" s="2">
        <v>42.0</v>
      </c>
      <c r="B43" s="2" t="s">
        <v>189</v>
      </c>
      <c r="C43" s="2" t="s">
        <v>190</v>
      </c>
      <c r="D43" s="3">
        <v>7.0E9</v>
      </c>
      <c r="E43" s="2" t="s">
        <v>191</v>
      </c>
      <c r="F43" s="4" t="s">
        <v>34</v>
      </c>
      <c r="G43" s="3">
        <v>2.5E8</v>
      </c>
      <c r="H43" s="5" t="s">
        <v>192</v>
      </c>
      <c r="I43" s="4">
        <v>2024.0</v>
      </c>
      <c r="J43" s="3">
        <v>2.5E8</v>
      </c>
      <c r="K43" s="4">
        <v>2024.0</v>
      </c>
      <c r="L43" s="5" t="s">
        <v>192</v>
      </c>
      <c r="M43" s="4" t="s">
        <v>193</v>
      </c>
    </row>
    <row r="44" ht="14.25" customHeight="1">
      <c r="A44" s="2">
        <v>43.0</v>
      </c>
      <c r="B44" s="2" t="s">
        <v>194</v>
      </c>
      <c r="C44" s="2" t="s">
        <v>195</v>
      </c>
      <c r="D44" s="3">
        <v>6.9E9</v>
      </c>
      <c r="E44" s="2" t="s">
        <v>47</v>
      </c>
      <c r="F44" s="4" t="s">
        <v>34</v>
      </c>
      <c r="G44" s="3">
        <v>1.3283376E7</v>
      </c>
      <c r="H44" s="5" t="s">
        <v>196</v>
      </c>
      <c r="I44" s="4">
        <v>2026.0</v>
      </c>
      <c r="J44" s="3">
        <v>1.3283376E7</v>
      </c>
      <c r="K44" s="4">
        <v>2026.0</v>
      </c>
      <c r="L44" s="5" t="s">
        <v>196</v>
      </c>
      <c r="M44" s="7" t="s">
        <v>197</v>
      </c>
    </row>
    <row r="45" ht="14.25" customHeight="1">
      <c r="A45" s="2">
        <v>44.0</v>
      </c>
      <c r="B45" s="2" t="s">
        <v>198</v>
      </c>
      <c r="C45" s="2" t="s">
        <v>195</v>
      </c>
      <c r="D45" s="3">
        <v>6.9E9</v>
      </c>
      <c r="E45" s="2" t="s">
        <v>24</v>
      </c>
      <c r="F45" s="4" t="s">
        <v>34</v>
      </c>
      <c r="G45" s="3">
        <v>1.5830193E7</v>
      </c>
      <c r="H45" s="5" t="s">
        <v>199</v>
      </c>
      <c r="I45" s="4">
        <v>2026.0</v>
      </c>
      <c r="J45" s="3">
        <v>1.5830193E7</v>
      </c>
      <c r="K45" s="4">
        <v>2026.0</v>
      </c>
      <c r="L45" s="5" t="s">
        <v>199</v>
      </c>
      <c r="M45" s="7" t="s">
        <v>200</v>
      </c>
    </row>
    <row r="46" ht="14.25" customHeight="1">
      <c r="A46" s="2">
        <v>45.0</v>
      </c>
      <c r="B46" s="2" t="s">
        <v>201</v>
      </c>
      <c r="C46" s="2" t="s">
        <v>202</v>
      </c>
      <c r="D46" s="3">
        <v>6.7E9</v>
      </c>
      <c r="E46" s="2" t="s">
        <v>17</v>
      </c>
      <c r="F46" s="4" t="s">
        <v>34</v>
      </c>
    </row>
    <row r="47" ht="14.25" customHeight="1">
      <c r="A47" s="2">
        <v>46.0</v>
      </c>
      <c r="B47" s="2" t="s">
        <v>203</v>
      </c>
      <c r="C47" s="2" t="s">
        <v>204</v>
      </c>
      <c r="D47" s="3">
        <v>6.4E9</v>
      </c>
      <c r="E47" s="2" t="s">
        <v>17</v>
      </c>
      <c r="F47" s="4" t="s">
        <v>34</v>
      </c>
    </row>
    <row r="48" ht="14.25" customHeight="1">
      <c r="A48" s="2">
        <v>47.0</v>
      </c>
      <c r="B48" s="2" t="s">
        <v>205</v>
      </c>
      <c r="C48" s="2" t="s">
        <v>204</v>
      </c>
      <c r="D48" s="3">
        <v>6.4E9</v>
      </c>
      <c r="E48" s="2" t="s">
        <v>90</v>
      </c>
      <c r="F48" s="4" t="s">
        <v>34</v>
      </c>
      <c r="N48" s="5" t="s">
        <v>179</v>
      </c>
    </row>
    <row r="49" ht="14.25" customHeight="1">
      <c r="A49" s="2">
        <v>48.0</v>
      </c>
      <c r="B49" s="2" t="s">
        <v>206</v>
      </c>
      <c r="C49" s="2" t="s">
        <v>207</v>
      </c>
      <c r="D49" s="3">
        <v>6.3E9</v>
      </c>
      <c r="E49" s="2" t="s">
        <v>17</v>
      </c>
      <c r="F49" s="4" t="s">
        <v>34</v>
      </c>
      <c r="G49" s="3">
        <v>1031715.0</v>
      </c>
      <c r="H49" s="5" t="s">
        <v>208</v>
      </c>
      <c r="I49" s="4">
        <v>2026.0</v>
      </c>
      <c r="J49" s="4"/>
      <c r="K49" s="4"/>
      <c r="L49" s="12"/>
      <c r="M49" s="7" t="s">
        <v>209</v>
      </c>
    </row>
    <row r="50" ht="14.25" customHeight="1">
      <c r="A50" s="2">
        <v>49.0</v>
      </c>
      <c r="B50" s="2" t="s">
        <v>210</v>
      </c>
      <c r="C50" s="2" t="s">
        <v>211</v>
      </c>
      <c r="D50" s="3">
        <v>5.9E9</v>
      </c>
      <c r="E50" s="2" t="s">
        <v>47</v>
      </c>
      <c r="F50" s="4" t="s">
        <v>34</v>
      </c>
      <c r="G50" s="3">
        <v>8.0E7</v>
      </c>
      <c r="H50" s="5" t="s">
        <v>212</v>
      </c>
      <c r="I50" s="4">
        <v>2025.0</v>
      </c>
      <c r="J50" s="3">
        <v>8.65E7</v>
      </c>
      <c r="K50" s="4" t="s">
        <v>213</v>
      </c>
      <c r="L50" s="6" t="s">
        <v>214</v>
      </c>
      <c r="M50" s="4" t="s">
        <v>215</v>
      </c>
    </row>
    <row r="51" ht="14.25" customHeight="1">
      <c r="A51" s="2">
        <v>50.0</v>
      </c>
      <c r="B51" s="2" t="s">
        <v>216</v>
      </c>
      <c r="C51" s="2" t="s">
        <v>217</v>
      </c>
      <c r="D51" s="3">
        <v>5.7E9</v>
      </c>
      <c r="E51" s="2" t="s">
        <v>218</v>
      </c>
      <c r="F51" s="4" t="s">
        <v>34</v>
      </c>
      <c r="G51" s="3">
        <v>1.8104324E7</v>
      </c>
      <c r="H51" s="5" t="s">
        <v>219</v>
      </c>
      <c r="I51" s="4">
        <v>2026.0</v>
      </c>
      <c r="J51" s="3">
        <v>1.4340561E7</v>
      </c>
      <c r="K51" s="4" t="s">
        <v>220</v>
      </c>
      <c r="L51" s="4" t="s">
        <v>221</v>
      </c>
    </row>
    <row r="52" ht="14.25" customHeight="1">
      <c r="A52" s="2">
        <v>51.0</v>
      </c>
      <c r="B52" s="2" t="s">
        <v>222</v>
      </c>
      <c r="C52" s="2" t="s">
        <v>223</v>
      </c>
      <c r="D52" s="3">
        <v>5.6E9</v>
      </c>
      <c r="E52" s="2" t="s">
        <v>224</v>
      </c>
      <c r="F52" s="4" t="s">
        <v>34</v>
      </c>
      <c r="G52" s="11">
        <v>877000.0</v>
      </c>
      <c r="H52" s="5" t="s">
        <v>225</v>
      </c>
      <c r="I52" s="4">
        <v>2026.0</v>
      </c>
      <c r="J52" s="3">
        <v>7862000.0</v>
      </c>
      <c r="K52" s="4">
        <v>2026.0</v>
      </c>
      <c r="L52" s="4" t="s">
        <v>226</v>
      </c>
      <c r="M52" s="10" t="s">
        <v>227</v>
      </c>
    </row>
    <row r="53" ht="14.25" customHeight="1">
      <c r="A53" s="2">
        <v>52.0</v>
      </c>
      <c r="B53" s="2" t="s">
        <v>228</v>
      </c>
      <c r="C53" s="2" t="s">
        <v>223</v>
      </c>
      <c r="D53" s="3">
        <v>5.6E9</v>
      </c>
      <c r="E53" s="2" t="s">
        <v>229</v>
      </c>
      <c r="F53" s="4" t="s">
        <v>34</v>
      </c>
      <c r="G53" s="3">
        <v>4101800.0</v>
      </c>
      <c r="H53" s="5" t="s">
        <v>230</v>
      </c>
      <c r="I53" s="4">
        <v>2026.0</v>
      </c>
      <c r="J53" s="3">
        <v>4101800.0</v>
      </c>
      <c r="K53" s="4">
        <v>2026.0</v>
      </c>
      <c r="L53" s="5" t="s">
        <v>230</v>
      </c>
      <c r="M53" s="7" t="s">
        <v>231</v>
      </c>
    </row>
    <row r="54" ht="14.25" customHeight="1">
      <c r="A54" s="2">
        <v>53.0</v>
      </c>
      <c r="B54" s="2" t="s">
        <v>232</v>
      </c>
      <c r="C54" s="2" t="s">
        <v>233</v>
      </c>
      <c r="D54" s="3">
        <v>5.5E9</v>
      </c>
      <c r="E54" s="2" t="s">
        <v>17</v>
      </c>
      <c r="F54" s="4" t="s">
        <v>34</v>
      </c>
      <c r="G54" s="3">
        <v>1.316994E7</v>
      </c>
      <c r="H54" s="5" t="s">
        <v>234</v>
      </c>
      <c r="I54" s="4">
        <v>2026.0</v>
      </c>
      <c r="J54" s="3">
        <v>1.316994E7</v>
      </c>
      <c r="K54" s="4">
        <v>2026.0</v>
      </c>
      <c r="L54" s="5" t="s">
        <v>234</v>
      </c>
      <c r="M54" s="7" t="s">
        <v>235</v>
      </c>
    </row>
    <row r="55" ht="14.25" customHeight="1">
      <c r="A55" s="2">
        <v>54.0</v>
      </c>
      <c r="B55" s="2" t="s">
        <v>236</v>
      </c>
      <c r="C55" s="2" t="s">
        <v>237</v>
      </c>
      <c r="D55" s="3">
        <v>5.4E9</v>
      </c>
      <c r="E55" s="2" t="s">
        <v>238</v>
      </c>
      <c r="F55" s="4" t="s">
        <v>34</v>
      </c>
      <c r="G55" s="3"/>
    </row>
    <row r="56" ht="14.25" customHeight="1">
      <c r="A56" s="2">
        <v>55.0</v>
      </c>
      <c r="B56" s="2" t="s">
        <v>239</v>
      </c>
      <c r="C56" s="2" t="s">
        <v>237</v>
      </c>
      <c r="D56" s="3">
        <v>5.4E9</v>
      </c>
      <c r="E56" s="2" t="s">
        <v>100</v>
      </c>
      <c r="F56" s="4" t="s">
        <v>34</v>
      </c>
      <c r="G56" s="3">
        <v>2.960876E7</v>
      </c>
      <c r="H56" s="13" t="s">
        <v>240</v>
      </c>
      <c r="I56" s="4">
        <v>2026.0</v>
      </c>
      <c r="J56" s="3">
        <v>2.960876E7</v>
      </c>
      <c r="K56" s="4">
        <v>2026.0</v>
      </c>
      <c r="L56" s="8" t="s">
        <v>240</v>
      </c>
      <c r="M56" s="7" t="s">
        <v>241</v>
      </c>
    </row>
    <row r="57" ht="14.25" customHeight="1">
      <c r="A57" s="2">
        <v>56.0</v>
      </c>
      <c r="B57" s="2" t="s">
        <v>242</v>
      </c>
      <c r="C57" s="2" t="s">
        <v>237</v>
      </c>
      <c r="D57" s="3">
        <v>5.4E9</v>
      </c>
      <c r="E57" s="2" t="s">
        <v>47</v>
      </c>
      <c r="F57" s="4" t="s">
        <v>34</v>
      </c>
      <c r="G57" s="3">
        <v>3.0E7</v>
      </c>
      <c r="H57" s="5" t="s">
        <v>243</v>
      </c>
      <c r="I57" s="4">
        <v>2014.0</v>
      </c>
      <c r="J57" s="3">
        <v>1.625E8</v>
      </c>
      <c r="K57" s="4" t="s">
        <v>244</v>
      </c>
      <c r="L57" s="4" t="s">
        <v>245</v>
      </c>
      <c r="M57" s="7" t="s">
        <v>246</v>
      </c>
    </row>
    <row r="58" ht="14.25" customHeight="1">
      <c r="A58" s="2">
        <v>57.0</v>
      </c>
      <c r="B58" s="2" t="s">
        <v>247</v>
      </c>
      <c r="C58" s="2" t="s">
        <v>237</v>
      </c>
      <c r="D58" s="3">
        <v>5.4E9</v>
      </c>
      <c r="E58" s="2" t="s">
        <v>47</v>
      </c>
      <c r="F58" s="4" t="s">
        <v>34</v>
      </c>
    </row>
    <row r="59" ht="14.25" customHeight="1">
      <c r="A59" s="2">
        <v>58.0</v>
      </c>
      <c r="B59" s="2" t="s">
        <v>248</v>
      </c>
      <c r="C59" s="2" t="s">
        <v>249</v>
      </c>
      <c r="D59" s="3">
        <v>5.3E9</v>
      </c>
      <c r="E59" s="2" t="s">
        <v>80</v>
      </c>
      <c r="F59" s="4" t="s">
        <v>34</v>
      </c>
      <c r="G59" s="3">
        <v>1.7115689E7</v>
      </c>
      <c r="H59" s="5" t="s">
        <v>250</v>
      </c>
      <c r="I59" s="4">
        <v>2026.0</v>
      </c>
      <c r="J59" s="3">
        <v>1.7115689E7</v>
      </c>
      <c r="K59" s="4">
        <v>2026.0</v>
      </c>
      <c r="L59" s="5" t="s">
        <v>250</v>
      </c>
      <c r="M59" s="7" t="s">
        <v>251</v>
      </c>
    </row>
    <row r="60" ht="14.25" customHeight="1">
      <c r="A60" s="2">
        <v>59.0</v>
      </c>
      <c r="B60" s="2" t="s">
        <v>252</v>
      </c>
      <c r="C60" s="2" t="s">
        <v>249</v>
      </c>
      <c r="D60" s="3">
        <v>5.3E9</v>
      </c>
      <c r="E60" s="2" t="s">
        <v>80</v>
      </c>
      <c r="F60" s="4" t="s">
        <v>34</v>
      </c>
      <c r="G60" s="3">
        <v>1.7115689E7</v>
      </c>
      <c r="H60" s="5" t="s">
        <v>250</v>
      </c>
      <c r="I60" s="4">
        <v>2026.0</v>
      </c>
      <c r="J60" s="3">
        <v>1.7115689E7</v>
      </c>
      <c r="K60" s="4">
        <v>2026.0</v>
      </c>
      <c r="L60" s="5" t="s">
        <v>250</v>
      </c>
      <c r="M60" s="12" t="s">
        <v>253</v>
      </c>
    </row>
    <row r="61" ht="14.25" customHeight="1">
      <c r="A61" s="2">
        <v>60.0</v>
      </c>
      <c r="B61" s="2" t="s">
        <v>254</v>
      </c>
      <c r="C61" s="2" t="s">
        <v>249</v>
      </c>
      <c r="D61" s="3">
        <v>5.3E9</v>
      </c>
      <c r="E61" s="2" t="s">
        <v>17</v>
      </c>
      <c r="F61" s="4" t="s">
        <v>34</v>
      </c>
    </row>
    <row r="62" ht="14.25" customHeight="1">
      <c r="A62" s="2">
        <v>61.0</v>
      </c>
      <c r="B62" s="2" t="s">
        <v>255</v>
      </c>
      <c r="C62" s="2" t="s">
        <v>249</v>
      </c>
      <c r="D62" s="3">
        <v>5.3E9</v>
      </c>
      <c r="E62" s="2" t="s">
        <v>256</v>
      </c>
      <c r="F62" s="4" t="s">
        <v>34</v>
      </c>
      <c r="G62" s="3">
        <v>4.16E7</v>
      </c>
      <c r="H62" s="5" t="s">
        <v>257</v>
      </c>
      <c r="I62" s="4">
        <v>2026.0</v>
      </c>
      <c r="J62" s="3">
        <v>1.23E8</v>
      </c>
      <c r="K62" s="4" t="s">
        <v>258</v>
      </c>
      <c r="L62" s="4" t="s">
        <v>259</v>
      </c>
      <c r="M62" s="4" t="s">
        <v>260</v>
      </c>
    </row>
    <row r="63" ht="14.25" customHeight="1">
      <c r="A63" s="2">
        <v>62.0</v>
      </c>
      <c r="B63" s="2" t="s">
        <v>261</v>
      </c>
      <c r="C63" s="2" t="s">
        <v>262</v>
      </c>
      <c r="D63" s="3">
        <v>5.1E9</v>
      </c>
      <c r="E63" s="2" t="s">
        <v>263</v>
      </c>
      <c r="F63" s="4" t="s">
        <v>18</v>
      </c>
      <c r="G63" s="3">
        <v>1750000.0</v>
      </c>
      <c r="H63" s="5" t="s">
        <v>264</v>
      </c>
      <c r="I63" s="4">
        <v>2016.0</v>
      </c>
      <c r="J63" s="3">
        <v>3250000.0</v>
      </c>
      <c r="K63" s="4" t="s">
        <v>265</v>
      </c>
      <c r="L63" s="6" t="s">
        <v>264</v>
      </c>
      <c r="M63" s="4" t="s">
        <v>266</v>
      </c>
      <c r="N63" s="5" t="s">
        <v>94</v>
      </c>
    </row>
    <row r="64" ht="14.25" customHeight="1">
      <c r="A64" s="2">
        <v>63.0</v>
      </c>
      <c r="B64" s="2" t="s">
        <v>267</v>
      </c>
      <c r="C64" s="2" t="s">
        <v>262</v>
      </c>
      <c r="D64" s="3">
        <v>5.1E9</v>
      </c>
      <c r="E64" s="2" t="s">
        <v>268</v>
      </c>
      <c r="F64" s="4" t="s">
        <v>34</v>
      </c>
    </row>
    <row r="65" ht="14.25" customHeight="1">
      <c r="A65" s="2">
        <v>64.0</v>
      </c>
      <c r="B65" s="2" t="s">
        <v>269</v>
      </c>
      <c r="C65" s="2" t="s">
        <v>270</v>
      </c>
      <c r="D65" s="3">
        <v>5.0E9</v>
      </c>
      <c r="E65" s="2" t="s">
        <v>271</v>
      </c>
      <c r="F65" s="4" t="s">
        <v>34</v>
      </c>
    </row>
    <row r="66" ht="14.25" customHeight="1">
      <c r="A66" s="2">
        <v>65.0</v>
      </c>
      <c r="B66" s="2" t="s">
        <v>272</v>
      </c>
      <c r="C66" s="2" t="s">
        <v>270</v>
      </c>
      <c r="D66" s="3">
        <v>5.0E9</v>
      </c>
      <c r="E66" s="2" t="s">
        <v>100</v>
      </c>
      <c r="F66" s="4" t="s">
        <v>34</v>
      </c>
    </row>
    <row r="67" ht="14.25" customHeight="1">
      <c r="A67" s="2">
        <v>66.0</v>
      </c>
      <c r="B67" s="2" t="s">
        <v>273</v>
      </c>
      <c r="C67" s="2" t="s">
        <v>274</v>
      </c>
      <c r="D67" s="3">
        <v>4.9E9</v>
      </c>
      <c r="E67" s="2" t="s">
        <v>100</v>
      </c>
      <c r="F67" s="4" t="s">
        <v>34</v>
      </c>
      <c r="G67" s="3">
        <v>3.19E7</v>
      </c>
      <c r="H67" s="5" t="s">
        <v>149</v>
      </c>
      <c r="I67" s="4">
        <v>2018.0</v>
      </c>
      <c r="J67" s="3">
        <v>3.19E7</v>
      </c>
      <c r="K67" s="4" t="s">
        <v>275</v>
      </c>
      <c r="L67" s="4" t="s">
        <v>276</v>
      </c>
      <c r="M67" s="4" t="s">
        <v>277</v>
      </c>
    </row>
    <row r="68" ht="14.25" customHeight="1">
      <c r="A68" s="2">
        <v>67.0</v>
      </c>
      <c r="B68" s="2" t="s">
        <v>278</v>
      </c>
      <c r="C68" s="2" t="s">
        <v>274</v>
      </c>
      <c r="D68" s="3">
        <v>4.9E9</v>
      </c>
      <c r="E68" s="2" t="s">
        <v>100</v>
      </c>
      <c r="F68" s="4" t="s">
        <v>34</v>
      </c>
    </row>
    <row r="69" ht="14.25" customHeight="1">
      <c r="A69" s="2">
        <v>68.0</v>
      </c>
      <c r="B69" s="2" t="s">
        <v>279</v>
      </c>
      <c r="C69" s="2" t="s">
        <v>280</v>
      </c>
      <c r="D69" s="3">
        <v>4.8E9</v>
      </c>
      <c r="E69" s="2" t="s">
        <v>100</v>
      </c>
      <c r="F69" s="4" t="s">
        <v>34</v>
      </c>
      <c r="G69" s="3">
        <v>2.2222762E7</v>
      </c>
      <c r="H69" s="5" t="s">
        <v>281</v>
      </c>
      <c r="I69" s="4">
        <v>2026.0</v>
      </c>
      <c r="J69" s="3">
        <v>5.9322762E7</v>
      </c>
      <c r="K69" s="4" t="s">
        <v>282</v>
      </c>
      <c r="L69" s="4" t="s">
        <v>283</v>
      </c>
      <c r="M69" s="10" t="s">
        <v>284</v>
      </c>
    </row>
    <row r="70" ht="14.25" customHeight="1">
      <c r="A70" s="2">
        <v>69.0</v>
      </c>
      <c r="B70" s="2" t="s">
        <v>285</v>
      </c>
      <c r="C70" s="2" t="s">
        <v>280</v>
      </c>
      <c r="D70" s="3">
        <v>4.8E9</v>
      </c>
      <c r="E70" s="2" t="s">
        <v>100</v>
      </c>
      <c r="F70" s="4" t="s">
        <v>34</v>
      </c>
      <c r="G70" s="3">
        <v>6849000.0</v>
      </c>
      <c r="H70" s="5" t="s">
        <v>286</v>
      </c>
      <c r="I70" s="4">
        <v>2026.0</v>
      </c>
      <c r="J70" s="3">
        <v>6849000.0</v>
      </c>
      <c r="K70" s="4">
        <v>2026.0</v>
      </c>
      <c r="L70" s="5" t="s">
        <v>286</v>
      </c>
      <c r="M70" s="6" t="s">
        <v>287</v>
      </c>
    </row>
    <row r="71" ht="14.25" customHeight="1">
      <c r="A71" s="2">
        <v>70.0</v>
      </c>
      <c r="B71" s="2" t="s">
        <v>288</v>
      </c>
      <c r="C71" s="2" t="s">
        <v>280</v>
      </c>
      <c r="D71" s="3">
        <v>4.8E9</v>
      </c>
      <c r="E71" s="2" t="s">
        <v>256</v>
      </c>
      <c r="F71" s="4" t="s">
        <v>34</v>
      </c>
      <c r="G71" s="11">
        <v>5884000.0</v>
      </c>
      <c r="H71" s="5" t="s">
        <v>289</v>
      </c>
      <c r="I71" s="4">
        <v>2026.0</v>
      </c>
      <c r="J71" s="11">
        <v>5884000.0</v>
      </c>
      <c r="K71" s="4">
        <v>2026.0</v>
      </c>
      <c r="L71" s="5" t="s">
        <v>289</v>
      </c>
      <c r="M71" s="7" t="s">
        <v>290</v>
      </c>
    </row>
    <row r="72" ht="14.25" customHeight="1">
      <c r="A72" s="2">
        <v>71.0</v>
      </c>
      <c r="B72" s="2" t="s">
        <v>291</v>
      </c>
      <c r="C72" s="2" t="s">
        <v>280</v>
      </c>
      <c r="D72" s="3">
        <v>4.8E9</v>
      </c>
      <c r="E72" s="2" t="s">
        <v>218</v>
      </c>
      <c r="F72" s="4" t="s">
        <v>34</v>
      </c>
      <c r="G72" s="11">
        <v>1.3269963E7</v>
      </c>
      <c r="H72" s="5" t="s">
        <v>292</v>
      </c>
      <c r="I72" s="4">
        <v>2026.0</v>
      </c>
      <c r="J72" s="3">
        <v>2.5671792E7</v>
      </c>
      <c r="K72" s="4">
        <v>2026.0</v>
      </c>
      <c r="L72" s="4" t="s">
        <v>293</v>
      </c>
      <c r="M72" s="7" t="s">
        <v>294</v>
      </c>
    </row>
    <row r="73" ht="14.25" customHeight="1">
      <c r="A73" s="2">
        <v>72.0</v>
      </c>
      <c r="B73" s="2" t="s">
        <v>295</v>
      </c>
      <c r="C73" s="2" t="s">
        <v>280</v>
      </c>
      <c r="D73" s="3">
        <v>4.8E9</v>
      </c>
      <c r="E73" s="2" t="s">
        <v>100</v>
      </c>
      <c r="F73" s="4" t="s">
        <v>34</v>
      </c>
      <c r="G73" s="11">
        <v>7809894.0</v>
      </c>
      <c r="H73" s="5" t="s">
        <v>296</v>
      </c>
      <c r="I73" s="4">
        <v>2026.0</v>
      </c>
      <c r="J73" s="3">
        <v>9.0E7</v>
      </c>
      <c r="K73" s="4">
        <v>2023.0</v>
      </c>
      <c r="L73" s="6" t="s">
        <v>297</v>
      </c>
      <c r="M73" s="6" t="s">
        <v>298</v>
      </c>
    </row>
    <row r="74" ht="14.25" customHeight="1">
      <c r="A74" s="2">
        <v>73.0</v>
      </c>
      <c r="B74" s="2" t="s">
        <v>299</v>
      </c>
      <c r="C74" s="2" t="s">
        <v>300</v>
      </c>
      <c r="D74" s="3">
        <v>4.5E9</v>
      </c>
      <c r="E74" s="2" t="s">
        <v>17</v>
      </c>
      <c r="F74" s="4" t="s">
        <v>34</v>
      </c>
      <c r="G74" s="3"/>
      <c r="I74" s="4"/>
      <c r="J74" s="4"/>
      <c r="K74" s="4"/>
      <c r="L74" s="4"/>
      <c r="M74" s="4"/>
    </row>
    <row r="75" ht="14.25" customHeight="1">
      <c r="A75" s="2">
        <v>74.0</v>
      </c>
      <c r="B75" s="2" t="s">
        <v>301</v>
      </c>
      <c r="C75" s="2" t="s">
        <v>302</v>
      </c>
      <c r="D75" s="3">
        <v>4.4E9</v>
      </c>
      <c r="E75" s="2" t="s">
        <v>303</v>
      </c>
      <c r="F75" s="4" t="s">
        <v>34</v>
      </c>
    </row>
    <row r="76" ht="14.25" customHeight="1">
      <c r="A76" s="2">
        <v>75.0</v>
      </c>
      <c r="B76" s="2" t="s">
        <v>304</v>
      </c>
      <c r="C76" s="2" t="s">
        <v>302</v>
      </c>
      <c r="D76" s="3">
        <v>4.4E9</v>
      </c>
      <c r="E76" s="2" t="s">
        <v>47</v>
      </c>
      <c r="F76" s="4" t="s">
        <v>34</v>
      </c>
      <c r="G76" s="3">
        <v>1.95E8</v>
      </c>
      <c r="H76" s="5" t="s">
        <v>305</v>
      </c>
      <c r="I76" s="4">
        <v>2024.0</v>
      </c>
      <c r="J76" s="3">
        <v>1.95E8</v>
      </c>
      <c r="K76" s="4">
        <v>2024.0</v>
      </c>
      <c r="L76" s="5" t="s">
        <v>305</v>
      </c>
    </row>
    <row r="77" ht="14.25" customHeight="1">
      <c r="A77" s="2">
        <v>76.0</v>
      </c>
      <c r="B77" s="2" t="s">
        <v>306</v>
      </c>
      <c r="C77" s="2" t="s">
        <v>307</v>
      </c>
      <c r="D77" s="3">
        <v>4.3E9</v>
      </c>
      <c r="E77" s="2" t="s">
        <v>308</v>
      </c>
      <c r="F77" s="4" t="s">
        <v>34</v>
      </c>
    </row>
    <row r="78" ht="14.25" customHeight="1">
      <c r="A78" s="2">
        <v>77.0</v>
      </c>
      <c r="B78" s="2" t="s">
        <v>309</v>
      </c>
      <c r="C78" s="2" t="s">
        <v>307</v>
      </c>
      <c r="D78" s="3">
        <v>4.3E9</v>
      </c>
      <c r="E78" s="2" t="s">
        <v>80</v>
      </c>
      <c r="F78" s="4" t="s">
        <v>34</v>
      </c>
      <c r="G78" s="3">
        <v>1.1443465E7</v>
      </c>
      <c r="H78" s="5" t="s">
        <v>310</v>
      </c>
      <c r="I78" s="4">
        <v>2026.0</v>
      </c>
      <c r="J78" s="3">
        <v>2.9825465E7</v>
      </c>
      <c r="K78" s="4" t="s">
        <v>311</v>
      </c>
      <c r="L78" s="7" t="s">
        <v>312</v>
      </c>
      <c r="M78" s="7" t="s">
        <v>313</v>
      </c>
    </row>
    <row r="79" ht="14.25" customHeight="1">
      <c r="A79" s="2">
        <v>78.0</v>
      </c>
      <c r="B79" s="2" t="s">
        <v>314</v>
      </c>
      <c r="C79" s="2" t="s">
        <v>315</v>
      </c>
      <c r="D79" s="3">
        <v>4.1E9</v>
      </c>
      <c r="E79" s="2" t="s">
        <v>100</v>
      </c>
      <c r="F79" s="4" t="s">
        <v>34</v>
      </c>
    </row>
    <row r="80" ht="14.25" customHeight="1">
      <c r="A80" s="2">
        <v>79.0</v>
      </c>
      <c r="B80" s="2" t="s">
        <v>316</v>
      </c>
      <c r="C80" s="2" t="s">
        <v>317</v>
      </c>
      <c r="D80" s="3">
        <v>4.0E9</v>
      </c>
      <c r="E80" s="2" t="s">
        <v>24</v>
      </c>
      <c r="F80" s="4" t="s">
        <v>34</v>
      </c>
      <c r="M80" s="7" t="s">
        <v>318</v>
      </c>
    </row>
    <row r="81" ht="14.25" customHeight="1">
      <c r="A81" s="2">
        <v>80.0</v>
      </c>
      <c r="B81" s="2" t="s">
        <v>319</v>
      </c>
      <c r="C81" s="2" t="s">
        <v>317</v>
      </c>
      <c r="D81" s="3">
        <v>4.0E9</v>
      </c>
      <c r="E81" s="2" t="s">
        <v>100</v>
      </c>
      <c r="F81" s="4" t="s">
        <v>34</v>
      </c>
    </row>
    <row r="82" ht="14.25" customHeight="1">
      <c r="A82" s="2">
        <v>81.0</v>
      </c>
      <c r="B82" s="2" t="s">
        <v>320</v>
      </c>
      <c r="C82" s="2" t="s">
        <v>321</v>
      </c>
      <c r="D82" s="3">
        <v>3.8E9</v>
      </c>
      <c r="E82" s="2" t="s">
        <v>47</v>
      </c>
      <c r="F82" s="4" t="s">
        <v>34</v>
      </c>
      <c r="G82" s="3">
        <v>5.0E7</v>
      </c>
      <c r="H82" s="8" t="s">
        <v>322</v>
      </c>
      <c r="I82" s="4">
        <v>2023.0</v>
      </c>
      <c r="J82" s="3">
        <v>5.0E7</v>
      </c>
      <c r="K82" s="4">
        <v>2023.0</v>
      </c>
      <c r="L82" s="8" t="s">
        <v>322</v>
      </c>
    </row>
    <row r="83" ht="14.25" customHeight="1">
      <c r="A83" s="2">
        <v>82.0</v>
      </c>
      <c r="B83" s="2" t="s">
        <v>323</v>
      </c>
      <c r="C83" s="2" t="s">
        <v>321</v>
      </c>
      <c r="D83" s="3">
        <v>3.8E9</v>
      </c>
      <c r="E83" s="2" t="s">
        <v>47</v>
      </c>
      <c r="F83" s="4" t="s">
        <v>34</v>
      </c>
      <c r="G83" s="3">
        <v>6500000.0</v>
      </c>
      <c r="H83" s="5" t="s">
        <v>324</v>
      </c>
      <c r="I83" s="4">
        <v>2020.0</v>
      </c>
      <c r="J83" s="3">
        <v>6500000.0</v>
      </c>
      <c r="K83" s="4">
        <v>2020.0</v>
      </c>
      <c r="L83" s="5" t="s">
        <v>324</v>
      </c>
      <c r="M83" s="4" t="s">
        <v>325</v>
      </c>
    </row>
    <row r="84" ht="14.25" customHeight="1">
      <c r="A84" s="2">
        <v>83.0</v>
      </c>
      <c r="B84" s="2" t="s">
        <v>326</v>
      </c>
      <c r="C84" s="2" t="s">
        <v>321</v>
      </c>
      <c r="D84" s="3">
        <v>3.8E9</v>
      </c>
      <c r="E84" s="2" t="s">
        <v>47</v>
      </c>
      <c r="F84" s="4" t="s">
        <v>34</v>
      </c>
      <c r="G84" s="3">
        <v>2.1E7</v>
      </c>
      <c r="H84" s="5" t="s">
        <v>327</v>
      </c>
      <c r="I84" s="4">
        <v>2020.0</v>
      </c>
      <c r="J84" s="4"/>
      <c r="K84" s="4"/>
      <c r="L84" s="4"/>
    </row>
    <row r="85" ht="14.25" customHeight="1">
      <c r="A85" s="2">
        <v>84.0</v>
      </c>
      <c r="B85" s="2" t="s">
        <v>328</v>
      </c>
      <c r="C85" s="2" t="s">
        <v>321</v>
      </c>
      <c r="D85" s="3">
        <v>3.8E9</v>
      </c>
      <c r="E85" s="2" t="s">
        <v>329</v>
      </c>
      <c r="F85" s="4" t="s">
        <v>34</v>
      </c>
      <c r="G85" s="3">
        <v>1977425.0</v>
      </c>
      <c r="H85" s="5" t="s">
        <v>330</v>
      </c>
      <c r="I85" s="4">
        <v>2026.0</v>
      </c>
      <c r="J85" s="4"/>
      <c r="K85" s="4"/>
      <c r="L85" s="4"/>
      <c r="M85" s="7" t="s">
        <v>331</v>
      </c>
    </row>
    <row r="86" ht="14.25" customHeight="1">
      <c r="A86" s="2">
        <v>85.0</v>
      </c>
      <c r="B86" s="2" t="s">
        <v>332</v>
      </c>
      <c r="C86" s="2" t="s">
        <v>333</v>
      </c>
      <c r="D86" s="3">
        <v>3.7E9</v>
      </c>
      <c r="E86" s="2" t="s">
        <v>100</v>
      </c>
      <c r="F86" s="4" t="s">
        <v>34</v>
      </c>
      <c r="G86" s="3">
        <v>2.925E7</v>
      </c>
      <c r="H86" s="5" t="s">
        <v>334</v>
      </c>
      <c r="I86" s="4">
        <v>2025.0</v>
      </c>
      <c r="M86" s="4" t="s">
        <v>335</v>
      </c>
    </row>
    <row r="87" ht="14.25" customHeight="1">
      <c r="A87" s="2">
        <v>86.0</v>
      </c>
      <c r="B87" s="2" t="s">
        <v>336</v>
      </c>
      <c r="C87" s="2" t="s">
        <v>333</v>
      </c>
      <c r="D87" s="3">
        <v>3.7E9</v>
      </c>
      <c r="E87" s="2" t="s">
        <v>47</v>
      </c>
      <c r="F87" s="4" t="s">
        <v>34</v>
      </c>
      <c r="G87" s="3">
        <v>3.0E7</v>
      </c>
      <c r="H87" s="5" t="s">
        <v>337</v>
      </c>
      <c r="I87" s="4">
        <v>2017.0</v>
      </c>
      <c r="J87" s="4"/>
      <c r="K87" s="4"/>
      <c r="L87" s="4"/>
    </row>
    <row r="88" ht="14.25" customHeight="1">
      <c r="A88" s="2">
        <v>87.0</v>
      </c>
      <c r="B88" s="2" t="s">
        <v>338</v>
      </c>
      <c r="C88" s="2" t="s">
        <v>333</v>
      </c>
      <c r="D88" s="3">
        <v>3.7E9</v>
      </c>
      <c r="E88" s="2" t="s">
        <v>339</v>
      </c>
      <c r="F88" s="4" t="s">
        <v>34</v>
      </c>
    </row>
    <row r="89" ht="14.25" customHeight="1">
      <c r="A89" s="2">
        <v>88.0</v>
      </c>
      <c r="B89" s="2" t="s">
        <v>340</v>
      </c>
      <c r="C89" s="2" t="s">
        <v>333</v>
      </c>
      <c r="D89" s="3">
        <v>3.7E9</v>
      </c>
      <c r="E89" s="2" t="s">
        <v>100</v>
      </c>
      <c r="F89" s="4" t="s">
        <v>34</v>
      </c>
    </row>
    <row r="90" ht="14.25" customHeight="1">
      <c r="A90" s="2">
        <v>89.0</v>
      </c>
      <c r="B90" s="2" t="s">
        <v>341</v>
      </c>
      <c r="C90" s="2" t="s">
        <v>333</v>
      </c>
      <c r="D90" s="3">
        <v>3.7E9</v>
      </c>
      <c r="E90" s="2" t="s">
        <v>100</v>
      </c>
      <c r="F90" s="4" t="s">
        <v>34</v>
      </c>
      <c r="G90" s="3">
        <v>2572000.0</v>
      </c>
      <c r="H90" s="5" t="s">
        <v>342</v>
      </c>
      <c r="I90" s="4">
        <v>2026.0</v>
      </c>
      <c r="M90" s="4" t="s">
        <v>343</v>
      </c>
    </row>
    <row r="91" ht="14.25" customHeight="1">
      <c r="A91" s="2">
        <v>90.0</v>
      </c>
      <c r="B91" s="2" t="s">
        <v>344</v>
      </c>
      <c r="C91" s="2" t="s">
        <v>333</v>
      </c>
      <c r="D91" s="3">
        <v>3.7E9</v>
      </c>
      <c r="F91" s="4" t="s">
        <v>34</v>
      </c>
    </row>
    <row r="92" ht="14.25" customHeight="1">
      <c r="A92" s="2">
        <v>91.0</v>
      </c>
      <c r="B92" s="2" t="s">
        <v>345</v>
      </c>
      <c r="C92" s="2" t="s">
        <v>333</v>
      </c>
      <c r="D92" s="3">
        <v>3.7E9</v>
      </c>
      <c r="E92" s="2" t="s">
        <v>100</v>
      </c>
      <c r="F92" s="4" t="s">
        <v>34</v>
      </c>
      <c r="G92" s="3">
        <v>4831145.0</v>
      </c>
      <c r="H92" s="5" t="s">
        <v>346</v>
      </c>
      <c r="I92" s="4">
        <v>2026.0</v>
      </c>
      <c r="M92" s="7" t="s">
        <v>347</v>
      </c>
    </row>
    <row r="93" ht="14.25" customHeight="1">
      <c r="A93" s="2">
        <v>92.0</v>
      </c>
      <c r="B93" s="2" t="s">
        <v>348</v>
      </c>
      <c r="C93" s="2" t="s">
        <v>333</v>
      </c>
      <c r="D93" s="3">
        <v>3.7E9</v>
      </c>
      <c r="E93" s="2" t="s">
        <v>100</v>
      </c>
      <c r="F93" s="4" t="s">
        <v>34</v>
      </c>
    </row>
    <row r="94" ht="14.25" customHeight="1">
      <c r="A94" s="2">
        <v>93.0</v>
      </c>
      <c r="B94" s="2" t="s">
        <v>349</v>
      </c>
      <c r="C94" s="2" t="s">
        <v>350</v>
      </c>
      <c r="D94" s="3">
        <v>3.6E9</v>
      </c>
      <c r="E94" s="2" t="s">
        <v>47</v>
      </c>
      <c r="F94" s="4" t="s">
        <v>34</v>
      </c>
      <c r="G94" s="11">
        <v>1.2982483E7</v>
      </c>
      <c r="H94" s="5" t="s">
        <v>351</v>
      </c>
      <c r="I94" s="4">
        <v>2026.0</v>
      </c>
      <c r="J94" s="4"/>
      <c r="K94" s="4"/>
      <c r="L94" s="4"/>
      <c r="M94" s="10" t="s">
        <v>352</v>
      </c>
    </row>
    <row r="95" ht="14.25" customHeight="1">
      <c r="A95" s="2">
        <v>94.0</v>
      </c>
      <c r="B95" s="2" t="s">
        <v>353</v>
      </c>
      <c r="C95" s="2" t="s">
        <v>350</v>
      </c>
      <c r="D95" s="3">
        <v>3.6E9</v>
      </c>
      <c r="E95" s="2" t="s">
        <v>354</v>
      </c>
      <c r="F95" s="4" t="s">
        <v>34</v>
      </c>
    </row>
    <row r="96" ht="14.25" customHeight="1">
      <c r="A96" s="2">
        <v>95.0</v>
      </c>
      <c r="B96" s="2" t="s">
        <v>355</v>
      </c>
      <c r="C96" s="2" t="s">
        <v>350</v>
      </c>
      <c r="D96" s="3">
        <v>3.6E9</v>
      </c>
      <c r="E96" s="2" t="s">
        <v>17</v>
      </c>
      <c r="F96" s="4" t="s">
        <v>34</v>
      </c>
      <c r="G96" s="11">
        <v>1.3784748E7</v>
      </c>
      <c r="H96" s="5" t="s">
        <v>356</v>
      </c>
      <c r="I96" s="4">
        <v>2026.0</v>
      </c>
      <c r="J96" s="4"/>
      <c r="K96" s="4"/>
      <c r="L96" s="4"/>
      <c r="M96" s="10" t="s">
        <v>357</v>
      </c>
    </row>
    <row r="97" ht="14.25" customHeight="1">
      <c r="A97" s="2">
        <v>96.0</v>
      </c>
      <c r="B97" s="2" t="s">
        <v>358</v>
      </c>
      <c r="C97" s="2" t="s">
        <v>359</v>
      </c>
      <c r="D97" s="3">
        <v>3.5E9</v>
      </c>
      <c r="E97" s="2" t="s">
        <v>17</v>
      </c>
      <c r="F97" s="4" t="s">
        <v>34</v>
      </c>
    </row>
    <row r="98" ht="14.25" customHeight="1">
      <c r="A98" s="2">
        <v>97.0</v>
      </c>
      <c r="B98" s="2" t="s">
        <v>360</v>
      </c>
      <c r="C98" s="2" t="s">
        <v>359</v>
      </c>
      <c r="D98" s="3">
        <v>3.5E9</v>
      </c>
      <c r="E98" s="2" t="s">
        <v>17</v>
      </c>
      <c r="F98" s="4" t="s">
        <v>34</v>
      </c>
      <c r="G98" s="3">
        <v>8.6E7</v>
      </c>
      <c r="H98" s="5" t="s">
        <v>361</v>
      </c>
      <c r="I98" s="4">
        <v>2019.0</v>
      </c>
      <c r="J98" s="4"/>
      <c r="K98" s="4"/>
      <c r="L98" s="4"/>
      <c r="M98" s="4" t="s">
        <v>362</v>
      </c>
    </row>
    <row r="99" ht="14.25" customHeight="1">
      <c r="A99" s="2">
        <v>98.0</v>
      </c>
      <c r="B99" s="2" t="s">
        <v>363</v>
      </c>
      <c r="C99" s="2" t="s">
        <v>359</v>
      </c>
      <c r="D99" s="3">
        <v>3.5E9</v>
      </c>
      <c r="E99" s="2" t="s">
        <v>47</v>
      </c>
      <c r="F99" s="4" t="s">
        <v>34</v>
      </c>
      <c r="G99" s="3">
        <v>4.33E7</v>
      </c>
      <c r="H99" s="5" t="s">
        <v>364</v>
      </c>
      <c r="I99" s="4">
        <v>2020.0</v>
      </c>
      <c r="J99" s="4"/>
      <c r="K99" s="4"/>
      <c r="L99" s="4"/>
      <c r="N99" s="5" t="s">
        <v>171</v>
      </c>
    </row>
    <row r="100" ht="14.25" customHeight="1">
      <c r="A100" s="2">
        <v>99.0</v>
      </c>
      <c r="B100" s="2" t="s">
        <v>365</v>
      </c>
      <c r="C100" s="2" t="s">
        <v>359</v>
      </c>
      <c r="D100" s="3">
        <v>3.5E9</v>
      </c>
      <c r="E100" s="2" t="s">
        <v>52</v>
      </c>
      <c r="F100" s="4" t="s">
        <v>34</v>
      </c>
      <c r="G100" s="3">
        <v>1.25E7</v>
      </c>
      <c r="H100" s="5" t="s">
        <v>366</v>
      </c>
      <c r="I100" s="4">
        <v>2024.0</v>
      </c>
      <c r="J100" s="4"/>
      <c r="K100" s="4"/>
      <c r="L100" s="4"/>
      <c r="M100" s="4" t="s">
        <v>367</v>
      </c>
      <c r="N100" s="5" t="s">
        <v>368</v>
      </c>
    </row>
    <row r="101" ht="14.25" customHeight="1">
      <c r="A101" s="2">
        <v>100.0</v>
      </c>
      <c r="B101" s="2" t="s">
        <v>369</v>
      </c>
      <c r="C101" s="2" t="s">
        <v>370</v>
      </c>
      <c r="D101" s="3">
        <v>3.4E9</v>
      </c>
      <c r="E101" s="2" t="s">
        <v>100</v>
      </c>
      <c r="F101" s="4" t="s">
        <v>34</v>
      </c>
      <c r="N101" s="5" t="s">
        <v>171</v>
      </c>
    </row>
    <row r="102" ht="14.25" customHeight="1">
      <c r="A102" s="2">
        <v>101.0</v>
      </c>
      <c r="B102" s="2" t="s">
        <v>371</v>
      </c>
      <c r="C102" s="2" t="s">
        <v>372</v>
      </c>
      <c r="D102" s="3">
        <v>3.3E9</v>
      </c>
      <c r="E102" s="2" t="s">
        <v>329</v>
      </c>
      <c r="F102" s="4" t="s">
        <v>34</v>
      </c>
      <c r="G102" s="3">
        <v>1.02433E7</v>
      </c>
      <c r="H102" s="5" t="s">
        <v>373</v>
      </c>
      <c r="I102" s="4">
        <v>2026.0</v>
      </c>
      <c r="M102" s="13" t="s">
        <v>374</v>
      </c>
    </row>
    <row r="103" ht="14.25" customHeight="1">
      <c r="A103" s="2">
        <v>102.0</v>
      </c>
      <c r="B103" s="2" t="s">
        <v>375</v>
      </c>
      <c r="C103" s="2" t="s">
        <v>376</v>
      </c>
      <c r="D103" s="3">
        <v>3.2E9</v>
      </c>
      <c r="E103" s="2" t="s">
        <v>52</v>
      </c>
      <c r="F103" s="4" t="s">
        <v>34</v>
      </c>
      <c r="G103" s="3">
        <v>4.2E7</v>
      </c>
      <c r="H103" s="5" t="s">
        <v>377</v>
      </c>
      <c r="I103" s="4">
        <v>2011.0</v>
      </c>
      <c r="M103" s="4" t="s">
        <v>378</v>
      </c>
    </row>
    <row r="104" ht="14.25" customHeight="1">
      <c r="A104" s="2">
        <v>103.0</v>
      </c>
      <c r="B104" s="2" t="s">
        <v>379</v>
      </c>
      <c r="C104" s="2" t="s">
        <v>376</v>
      </c>
      <c r="D104" s="3">
        <v>3.2E9</v>
      </c>
      <c r="E104" s="2" t="s">
        <v>100</v>
      </c>
      <c r="F104" s="4" t="s">
        <v>34</v>
      </c>
      <c r="G104" s="3">
        <v>2.825E7</v>
      </c>
      <c r="H104" s="5" t="s">
        <v>380</v>
      </c>
      <c r="I104" s="4">
        <v>2015.0</v>
      </c>
      <c r="J104" s="4"/>
      <c r="K104" s="4"/>
      <c r="L104" s="4"/>
    </row>
    <row r="105" ht="14.25" customHeight="1">
      <c r="A105" s="2">
        <v>104.0</v>
      </c>
      <c r="B105" s="2" t="s">
        <v>381</v>
      </c>
      <c r="C105" s="2" t="s">
        <v>376</v>
      </c>
      <c r="D105" s="3">
        <v>3.2E9</v>
      </c>
      <c r="E105" s="2" t="s">
        <v>100</v>
      </c>
      <c r="F105" s="4" t="s">
        <v>34</v>
      </c>
    </row>
    <row r="106" ht="14.25" customHeight="1">
      <c r="A106" s="2">
        <v>105.0</v>
      </c>
      <c r="B106" s="2" t="s">
        <v>382</v>
      </c>
      <c r="C106" s="2" t="s">
        <v>376</v>
      </c>
      <c r="D106" s="3">
        <v>3.2E9</v>
      </c>
      <c r="E106" s="2" t="s">
        <v>80</v>
      </c>
      <c r="F106" s="4" t="s">
        <v>34</v>
      </c>
      <c r="G106" s="3">
        <v>5.75E7</v>
      </c>
      <c r="H106" s="8" t="s">
        <v>383</v>
      </c>
      <c r="I106" s="4">
        <v>2025.0</v>
      </c>
      <c r="J106" s="4"/>
      <c r="K106" s="4"/>
      <c r="L106" s="4"/>
    </row>
    <row r="107" ht="14.25" customHeight="1">
      <c r="A107" s="2">
        <v>106.0</v>
      </c>
      <c r="B107" s="4" t="s">
        <v>384</v>
      </c>
      <c r="C107" s="2" t="s">
        <v>376</v>
      </c>
      <c r="D107" s="3">
        <v>3.2E9</v>
      </c>
      <c r="E107" s="2" t="s">
        <v>100</v>
      </c>
      <c r="F107" s="4" t="s">
        <v>34</v>
      </c>
    </row>
    <row r="108" ht="14.25" customHeight="1">
      <c r="A108" s="2">
        <v>107.0</v>
      </c>
      <c r="B108" s="2" t="s">
        <v>385</v>
      </c>
      <c r="C108" s="2" t="s">
        <v>376</v>
      </c>
      <c r="D108" s="3">
        <v>3.2E9</v>
      </c>
      <c r="E108" s="2" t="s">
        <v>17</v>
      </c>
      <c r="F108" s="4" t="s">
        <v>34</v>
      </c>
    </row>
    <row r="109" ht="14.25" customHeight="1">
      <c r="A109" s="2">
        <v>108.0</v>
      </c>
      <c r="B109" s="2" t="s">
        <v>386</v>
      </c>
      <c r="C109" s="2" t="s">
        <v>387</v>
      </c>
      <c r="D109" s="3">
        <v>3.1E9</v>
      </c>
      <c r="E109" s="2" t="s">
        <v>90</v>
      </c>
      <c r="F109" s="4" t="s">
        <v>34</v>
      </c>
      <c r="G109" s="3">
        <v>1.5563106E7</v>
      </c>
      <c r="H109" s="5" t="s">
        <v>388</v>
      </c>
      <c r="I109" s="4">
        <v>2026.0</v>
      </c>
      <c r="M109" s="4" t="s">
        <v>389</v>
      </c>
    </row>
    <row r="110" ht="14.25" customHeight="1">
      <c r="A110" s="2">
        <v>109.0</v>
      </c>
      <c r="B110" s="2" t="s">
        <v>390</v>
      </c>
      <c r="C110" s="2" t="s">
        <v>387</v>
      </c>
      <c r="D110" s="3">
        <v>3.1E9</v>
      </c>
      <c r="E110" s="2" t="s">
        <v>391</v>
      </c>
      <c r="F110" s="4" t="s">
        <v>34</v>
      </c>
      <c r="G110" s="3">
        <v>5.0E7</v>
      </c>
      <c r="H110" s="5" t="s">
        <v>392</v>
      </c>
      <c r="I110" s="4">
        <v>2024.0</v>
      </c>
      <c r="J110" s="3">
        <v>1.5E8</v>
      </c>
      <c r="K110" s="4" t="s">
        <v>393</v>
      </c>
      <c r="L110" s="4"/>
      <c r="M110" s="4" t="s">
        <v>394</v>
      </c>
    </row>
    <row r="111" ht="14.25" customHeight="1">
      <c r="A111" s="2">
        <v>110.0</v>
      </c>
      <c r="B111" s="2" t="s">
        <v>395</v>
      </c>
      <c r="C111" s="2" t="s">
        <v>396</v>
      </c>
      <c r="D111" s="3">
        <v>3.0E9</v>
      </c>
      <c r="E111" s="2" t="s">
        <v>30</v>
      </c>
      <c r="F111" s="4" t="s">
        <v>34</v>
      </c>
    </row>
    <row r="112" ht="14.25" customHeight="1">
      <c r="A112" s="2">
        <v>111.0</v>
      </c>
      <c r="B112" s="2" t="s">
        <v>397</v>
      </c>
      <c r="C112" s="2" t="s">
        <v>396</v>
      </c>
      <c r="D112" s="3">
        <v>3.0E9</v>
      </c>
      <c r="E112" s="2" t="s">
        <v>47</v>
      </c>
      <c r="F112" s="4" t="s">
        <v>34</v>
      </c>
      <c r="G112" s="3">
        <v>5.5E7</v>
      </c>
      <c r="H112" s="5" t="s">
        <v>398</v>
      </c>
      <c r="I112" s="4">
        <v>2014.0</v>
      </c>
      <c r="J112" s="4"/>
      <c r="K112" s="4"/>
      <c r="L112" s="4"/>
    </row>
    <row r="113" ht="14.25" customHeight="1">
      <c r="A113" s="2">
        <v>112.0</v>
      </c>
      <c r="B113" s="2" t="s">
        <v>399</v>
      </c>
      <c r="C113" s="2" t="s">
        <v>400</v>
      </c>
      <c r="D113" s="3">
        <v>2.9E9</v>
      </c>
      <c r="E113" s="2" t="s">
        <v>80</v>
      </c>
      <c r="F113" s="4" t="s">
        <v>34</v>
      </c>
      <c r="G113" s="3">
        <v>6.31E7</v>
      </c>
      <c r="H113" s="5" t="s">
        <v>401</v>
      </c>
      <c r="I113" s="4">
        <v>2021.0</v>
      </c>
      <c r="J113" s="4"/>
      <c r="K113" s="4"/>
      <c r="L113" s="4"/>
    </row>
    <row r="114" ht="14.25" customHeight="1">
      <c r="A114" s="2">
        <v>113.0</v>
      </c>
      <c r="B114" s="2" t="s">
        <v>402</v>
      </c>
      <c r="C114" s="2" t="s">
        <v>400</v>
      </c>
      <c r="D114" s="3">
        <v>2.9E9</v>
      </c>
      <c r="E114" s="2" t="s">
        <v>100</v>
      </c>
      <c r="F114" s="4" t="s">
        <v>34</v>
      </c>
      <c r="G114" s="11">
        <v>1.2072842E7</v>
      </c>
      <c r="H114" s="5" t="s">
        <v>403</v>
      </c>
      <c r="I114" s="4">
        <v>2026.0</v>
      </c>
      <c r="J114" s="4"/>
      <c r="K114" s="4"/>
      <c r="L114" s="4"/>
      <c r="M114" s="6" t="s">
        <v>404</v>
      </c>
    </row>
    <row r="115" ht="14.25" customHeight="1">
      <c r="A115" s="2">
        <v>114.0</v>
      </c>
      <c r="B115" s="2" t="s">
        <v>405</v>
      </c>
      <c r="C115" s="2" t="s">
        <v>406</v>
      </c>
      <c r="D115" s="3">
        <v>2.8E9</v>
      </c>
      <c r="E115" s="2" t="s">
        <v>90</v>
      </c>
      <c r="F115" s="4" t="s">
        <v>34</v>
      </c>
      <c r="G115" s="3">
        <v>1.7197E7</v>
      </c>
      <c r="H115" s="4" t="s">
        <v>407</v>
      </c>
      <c r="I115" s="4">
        <v>2026.0</v>
      </c>
    </row>
    <row r="116" ht="14.25" customHeight="1">
      <c r="A116" s="2">
        <v>115.0</v>
      </c>
      <c r="B116" s="2" t="s">
        <v>408</v>
      </c>
      <c r="C116" s="2" t="s">
        <v>406</v>
      </c>
      <c r="D116" s="3">
        <v>2.8E9</v>
      </c>
      <c r="E116" s="2" t="s">
        <v>409</v>
      </c>
      <c r="F116" s="4" t="s">
        <v>34</v>
      </c>
      <c r="M116" s="10" t="s">
        <v>410</v>
      </c>
    </row>
    <row r="117" ht="14.25" customHeight="1">
      <c r="A117" s="2">
        <v>116.0</v>
      </c>
      <c r="B117" s="2" t="s">
        <v>411</v>
      </c>
      <c r="C117" s="2" t="s">
        <v>406</v>
      </c>
      <c r="D117" s="3">
        <v>2.8E9</v>
      </c>
      <c r="E117" s="2" t="s">
        <v>412</v>
      </c>
      <c r="F117" s="4" t="s">
        <v>34</v>
      </c>
    </row>
    <row r="118" ht="14.25" customHeight="1">
      <c r="A118" s="2">
        <v>117.0</v>
      </c>
      <c r="B118" s="2" t="s">
        <v>413</v>
      </c>
      <c r="C118" s="2" t="s">
        <v>406</v>
      </c>
      <c r="D118" s="3">
        <v>2.8E9</v>
      </c>
      <c r="E118" s="2" t="s">
        <v>100</v>
      </c>
      <c r="F118" s="4" t="s">
        <v>34</v>
      </c>
      <c r="G118" s="4"/>
    </row>
    <row r="119" ht="14.25" customHeight="1">
      <c r="A119" s="2">
        <v>118.0</v>
      </c>
      <c r="B119" s="2" t="s">
        <v>414</v>
      </c>
      <c r="C119" s="2" t="s">
        <v>415</v>
      </c>
      <c r="D119" s="3">
        <v>2.7E9</v>
      </c>
      <c r="E119" s="2" t="s">
        <v>100</v>
      </c>
      <c r="F119" s="4" t="s">
        <v>34</v>
      </c>
    </row>
    <row r="120" ht="14.25" customHeight="1">
      <c r="A120" s="2">
        <v>119.0</v>
      </c>
      <c r="B120" s="2" t="s">
        <v>416</v>
      </c>
      <c r="C120" s="2" t="s">
        <v>417</v>
      </c>
      <c r="D120" s="3">
        <v>2.6E9</v>
      </c>
      <c r="E120" s="2" t="s">
        <v>100</v>
      </c>
      <c r="F120" s="4" t="s">
        <v>34</v>
      </c>
    </row>
    <row r="121" ht="14.25" customHeight="1">
      <c r="A121" s="2">
        <v>120.0</v>
      </c>
      <c r="B121" s="2" t="s">
        <v>418</v>
      </c>
      <c r="C121" s="2" t="s">
        <v>417</v>
      </c>
      <c r="D121" s="3">
        <v>2.6E9</v>
      </c>
      <c r="E121" s="2" t="s">
        <v>47</v>
      </c>
      <c r="F121" s="4" t="s">
        <v>34</v>
      </c>
      <c r="G121" s="3">
        <v>1.1761216E7</v>
      </c>
      <c r="H121" s="5" t="s">
        <v>419</v>
      </c>
      <c r="I121" s="4">
        <v>2026.0</v>
      </c>
      <c r="J121" s="3">
        <v>1.7143216E7</v>
      </c>
      <c r="K121" s="4">
        <v>2026.0</v>
      </c>
      <c r="L121" s="5" t="s">
        <v>420</v>
      </c>
      <c r="M121" s="7" t="s">
        <v>421</v>
      </c>
    </row>
    <row r="122" ht="14.25" customHeight="1">
      <c r="A122" s="2">
        <v>121.0</v>
      </c>
      <c r="B122" s="2" t="s">
        <v>422</v>
      </c>
      <c r="C122" s="2" t="s">
        <v>417</v>
      </c>
      <c r="D122" s="3">
        <v>2.6E9</v>
      </c>
      <c r="E122" s="2" t="s">
        <v>423</v>
      </c>
      <c r="F122" s="4" t="s">
        <v>34</v>
      </c>
      <c r="G122" s="3">
        <v>1.23E7</v>
      </c>
      <c r="H122" s="5" t="s">
        <v>424</v>
      </c>
      <c r="I122" s="4">
        <v>2024.0</v>
      </c>
      <c r="M122" s="7" t="s">
        <v>425</v>
      </c>
    </row>
    <row r="123" ht="14.25" customHeight="1">
      <c r="A123" s="2">
        <v>122.0</v>
      </c>
      <c r="B123" s="2" t="s">
        <v>426</v>
      </c>
      <c r="C123" s="2" t="s">
        <v>417</v>
      </c>
      <c r="D123" s="3">
        <v>2.6E9</v>
      </c>
      <c r="E123" s="2" t="s">
        <v>427</v>
      </c>
      <c r="F123" s="4" t="s">
        <v>34</v>
      </c>
      <c r="G123" s="3">
        <v>1.0E7</v>
      </c>
      <c r="H123" s="5" t="s">
        <v>428</v>
      </c>
      <c r="I123" s="4">
        <v>2021.0</v>
      </c>
      <c r="M123" s="4" t="s">
        <v>429</v>
      </c>
    </row>
    <row r="124" ht="14.25" customHeight="1">
      <c r="A124" s="2">
        <v>123.0</v>
      </c>
      <c r="B124" s="2" t="s">
        <v>430</v>
      </c>
      <c r="C124" s="2" t="s">
        <v>431</v>
      </c>
      <c r="D124" s="3">
        <v>2.5E9</v>
      </c>
      <c r="E124" s="2" t="s">
        <v>17</v>
      </c>
      <c r="F124" s="4" t="s">
        <v>34</v>
      </c>
    </row>
    <row r="125" ht="14.25" customHeight="1">
      <c r="A125" s="2">
        <v>124.0</v>
      </c>
      <c r="B125" s="2" t="s">
        <v>432</v>
      </c>
      <c r="C125" s="2" t="s">
        <v>431</v>
      </c>
      <c r="D125" s="3">
        <v>2.5E9</v>
      </c>
      <c r="E125" s="2" t="s">
        <v>47</v>
      </c>
      <c r="F125" s="4" t="s">
        <v>34</v>
      </c>
      <c r="G125" s="3">
        <v>1.2E8</v>
      </c>
      <c r="H125" s="5" t="s">
        <v>433</v>
      </c>
      <c r="I125" s="4">
        <v>2022.0</v>
      </c>
      <c r="J125" s="4"/>
      <c r="K125" s="4"/>
      <c r="L125" s="4"/>
    </row>
    <row r="126" ht="14.25" customHeight="1">
      <c r="A126" s="2">
        <v>125.0</v>
      </c>
      <c r="B126" s="2" t="s">
        <v>434</v>
      </c>
      <c r="C126" s="2" t="s">
        <v>431</v>
      </c>
      <c r="D126" s="3">
        <v>2.5E9</v>
      </c>
      <c r="E126" s="2" t="s">
        <v>435</v>
      </c>
      <c r="F126" s="4" t="s">
        <v>34</v>
      </c>
      <c r="G126" s="3">
        <v>9918000.0</v>
      </c>
      <c r="H126" s="5" t="s">
        <v>436</v>
      </c>
      <c r="I126" s="4">
        <v>2026.0</v>
      </c>
      <c r="J126" s="3">
        <v>9918000.0</v>
      </c>
      <c r="K126" s="4">
        <v>2026.0</v>
      </c>
      <c r="M126" s="4" t="s">
        <v>437</v>
      </c>
    </row>
    <row r="127" ht="14.25" customHeight="1">
      <c r="A127" s="2">
        <v>126.0</v>
      </c>
      <c r="B127" s="2" t="s">
        <v>438</v>
      </c>
      <c r="C127" s="2" t="s">
        <v>439</v>
      </c>
      <c r="D127" s="3">
        <v>2.4E9</v>
      </c>
      <c r="E127" s="2" t="s">
        <v>440</v>
      </c>
      <c r="F127" s="4" t="s">
        <v>34</v>
      </c>
      <c r="G127" s="3">
        <v>1.1668997E7</v>
      </c>
      <c r="H127" s="5" t="s">
        <v>441</v>
      </c>
      <c r="I127" s="4">
        <v>2026.0</v>
      </c>
      <c r="M127" s="7" t="s">
        <v>442</v>
      </c>
    </row>
    <row r="128" ht="14.25" customHeight="1">
      <c r="A128" s="2">
        <v>127.0</v>
      </c>
      <c r="B128" s="2" t="s">
        <v>443</v>
      </c>
      <c r="C128" s="2" t="s">
        <v>439</v>
      </c>
      <c r="D128" s="3">
        <v>2.4E9</v>
      </c>
      <c r="E128" s="2" t="s">
        <v>17</v>
      </c>
      <c r="F128" s="4" t="s">
        <v>34</v>
      </c>
      <c r="M128" s="7" t="s">
        <v>444</v>
      </c>
    </row>
    <row r="129" ht="14.25" customHeight="1">
      <c r="A129" s="2">
        <v>128.0</v>
      </c>
      <c r="B129" s="2" t="s">
        <v>445</v>
      </c>
      <c r="C129" s="2" t="s">
        <v>439</v>
      </c>
      <c r="D129" s="3">
        <v>2.4E9</v>
      </c>
      <c r="E129" s="2" t="s">
        <v>17</v>
      </c>
      <c r="F129" s="4" t="s">
        <v>34</v>
      </c>
      <c r="G129" s="3">
        <v>1.3339211E7</v>
      </c>
      <c r="H129" s="5" t="s">
        <v>446</v>
      </c>
      <c r="I129" s="4">
        <v>2026.0</v>
      </c>
      <c r="M129" s="7" t="s">
        <v>447</v>
      </c>
    </row>
    <row r="130" ht="14.25" customHeight="1">
      <c r="A130" s="2">
        <v>129.0</v>
      </c>
      <c r="B130" s="2" t="s">
        <v>448</v>
      </c>
      <c r="C130" s="2" t="s">
        <v>449</v>
      </c>
      <c r="D130" s="3">
        <v>2.3E9</v>
      </c>
      <c r="E130" s="2" t="s">
        <v>47</v>
      </c>
      <c r="F130" s="4" t="s">
        <v>34</v>
      </c>
      <c r="G130" s="3">
        <v>8683316.0</v>
      </c>
      <c r="H130" s="5" t="s">
        <v>450</v>
      </c>
      <c r="I130" s="4">
        <v>2026.0</v>
      </c>
      <c r="M130" s="7" t="s">
        <v>451</v>
      </c>
    </row>
    <row r="131" ht="14.25" customHeight="1">
      <c r="A131" s="2">
        <v>130.0</v>
      </c>
      <c r="B131" s="2" t="s">
        <v>452</v>
      </c>
      <c r="C131" s="2" t="s">
        <v>449</v>
      </c>
      <c r="D131" s="3">
        <v>2.3E9</v>
      </c>
      <c r="E131" s="2" t="s">
        <v>47</v>
      </c>
      <c r="F131" s="4" t="s">
        <v>34</v>
      </c>
      <c r="G131" s="3">
        <v>6.882E7</v>
      </c>
      <c r="H131" s="5" t="s">
        <v>453</v>
      </c>
      <c r="I131" s="4">
        <v>2018.0</v>
      </c>
      <c r="J131" s="4"/>
      <c r="K131" s="4"/>
      <c r="L131" s="4"/>
    </row>
    <row r="132" ht="14.25" customHeight="1">
      <c r="A132" s="2">
        <v>131.0</v>
      </c>
      <c r="B132" s="2" t="s">
        <v>454</v>
      </c>
      <c r="C132" s="2" t="s">
        <v>449</v>
      </c>
      <c r="D132" s="3">
        <v>2.3E9</v>
      </c>
      <c r="E132" s="2" t="s">
        <v>354</v>
      </c>
      <c r="F132" s="4" t="s">
        <v>34</v>
      </c>
      <c r="G132" s="3">
        <v>1.1E7</v>
      </c>
      <c r="H132" s="5" t="s">
        <v>455</v>
      </c>
      <c r="I132" s="4">
        <v>2026.0</v>
      </c>
      <c r="J132" s="4"/>
      <c r="K132" s="4"/>
      <c r="L132" s="4"/>
    </row>
    <row r="133" ht="14.25" customHeight="1">
      <c r="A133" s="2">
        <v>132.0</v>
      </c>
      <c r="B133" s="2" t="s">
        <v>456</v>
      </c>
      <c r="C133" s="2" t="s">
        <v>449</v>
      </c>
      <c r="D133" s="3">
        <v>2.3E9</v>
      </c>
      <c r="E133" s="2" t="s">
        <v>90</v>
      </c>
      <c r="F133" s="4" t="s">
        <v>34</v>
      </c>
      <c r="G133" s="3">
        <v>1.98E7</v>
      </c>
      <c r="H133" s="5" t="s">
        <v>457</v>
      </c>
      <c r="I133" s="4">
        <v>2007.0</v>
      </c>
      <c r="J133" s="4"/>
      <c r="K133" s="4"/>
      <c r="L133" s="4"/>
    </row>
    <row r="134" ht="14.25" customHeight="1">
      <c r="A134" s="2">
        <v>133.0</v>
      </c>
      <c r="B134" s="2" t="s">
        <v>458</v>
      </c>
      <c r="C134" s="2" t="s">
        <v>449</v>
      </c>
      <c r="D134" s="3">
        <v>2.3E9</v>
      </c>
      <c r="E134" s="2" t="s">
        <v>100</v>
      </c>
      <c r="F134" s="4" t="s">
        <v>34</v>
      </c>
    </row>
    <row r="135" ht="14.25" customHeight="1">
      <c r="A135" s="2">
        <v>134.0</v>
      </c>
      <c r="B135" s="2" t="s">
        <v>459</v>
      </c>
      <c r="C135" s="2" t="s">
        <v>449</v>
      </c>
      <c r="D135" s="3">
        <v>2.3E9</v>
      </c>
      <c r="E135" s="2" t="s">
        <v>440</v>
      </c>
      <c r="F135" s="4" t="s">
        <v>34</v>
      </c>
      <c r="G135" s="3">
        <v>9411000.0</v>
      </c>
      <c r="H135" s="5" t="s">
        <v>460</v>
      </c>
      <c r="I135" s="4">
        <v>2026.0</v>
      </c>
      <c r="M135" s="4" t="s">
        <v>461</v>
      </c>
    </row>
    <row r="136" ht="14.25" customHeight="1">
      <c r="A136" s="2">
        <v>135.0</v>
      </c>
      <c r="B136" s="2" t="s">
        <v>462</v>
      </c>
      <c r="C136" s="2" t="s">
        <v>463</v>
      </c>
      <c r="D136" s="3">
        <v>2.2E9</v>
      </c>
      <c r="E136" s="2" t="s">
        <v>47</v>
      </c>
      <c r="F136" s="4" t="s">
        <v>34</v>
      </c>
    </row>
    <row r="137" ht="14.25" customHeight="1">
      <c r="A137" s="2">
        <v>136.0</v>
      </c>
      <c r="B137" s="2" t="s">
        <v>464</v>
      </c>
      <c r="C137" s="2" t="s">
        <v>463</v>
      </c>
      <c r="D137" s="3">
        <v>2.2E9</v>
      </c>
      <c r="E137" s="2" t="s">
        <v>90</v>
      </c>
      <c r="F137" s="4" t="s">
        <v>34</v>
      </c>
      <c r="G137" s="3">
        <v>4.4E7</v>
      </c>
      <c r="H137" s="5" t="s">
        <v>465</v>
      </c>
      <c r="I137" s="4">
        <v>2024.0</v>
      </c>
      <c r="J137" s="3">
        <v>5.40622E7</v>
      </c>
      <c r="K137" s="4" t="s">
        <v>466</v>
      </c>
      <c r="L137" s="4" t="s">
        <v>467</v>
      </c>
      <c r="M137" s="4" t="s">
        <v>468</v>
      </c>
    </row>
    <row r="138" ht="14.25" customHeight="1">
      <c r="A138" s="2">
        <v>137.0</v>
      </c>
      <c r="B138" s="2" t="s">
        <v>469</v>
      </c>
      <c r="C138" s="2" t="s">
        <v>463</v>
      </c>
      <c r="D138" s="3">
        <v>2.2E9</v>
      </c>
      <c r="E138" s="2" t="s">
        <v>47</v>
      </c>
      <c r="F138" s="4" t="s">
        <v>34</v>
      </c>
      <c r="G138" s="3">
        <v>3.875E7</v>
      </c>
      <c r="H138" s="5" t="s">
        <v>470</v>
      </c>
      <c r="I138" s="4">
        <v>2017.0</v>
      </c>
      <c r="J138" s="4"/>
      <c r="K138" s="4"/>
      <c r="L138" s="4"/>
    </row>
    <row r="139" ht="14.25" customHeight="1">
      <c r="A139" s="2">
        <v>138.0</v>
      </c>
      <c r="B139" s="2" t="s">
        <v>471</v>
      </c>
      <c r="C139" s="2" t="s">
        <v>463</v>
      </c>
      <c r="D139" s="3">
        <v>2.2E9</v>
      </c>
      <c r="E139" s="2" t="s">
        <v>100</v>
      </c>
      <c r="F139" s="4" t="s">
        <v>34</v>
      </c>
      <c r="M139" s="7" t="s">
        <v>472</v>
      </c>
    </row>
    <row r="140" ht="14.25" customHeight="1">
      <c r="A140" s="2">
        <v>139.0</v>
      </c>
      <c r="B140" s="2" t="s">
        <v>473</v>
      </c>
      <c r="C140" s="2" t="s">
        <v>463</v>
      </c>
      <c r="D140" s="3">
        <v>2.2E9</v>
      </c>
      <c r="E140" s="2" t="s">
        <v>113</v>
      </c>
      <c r="F140" s="4" t="s">
        <v>34</v>
      </c>
      <c r="G140" s="3">
        <v>6490000.0</v>
      </c>
      <c r="H140" s="5" t="s">
        <v>474</v>
      </c>
      <c r="I140" s="4">
        <v>2026.0</v>
      </c>
    </row>
    <row r="141" ht="14.25" customHeight="1">
      <c r="A141" s="2">
        <v>140.0</v>
      </c>
      <c r="B141" s="2" t="s">
        <v>475</v>
      </c>
      <c r="C141" s="2" t="s">
        <v>463</v>
      </c>
      <c r="D141" s="3">
        <v>2.2E9</v>
      </c>
      <c r="E141" s="2" t="s">
        <v>90</v>
      </c>
      <c r="F141" s="4" t="s">
        <v>34</v>
      </c>
      <c r="G141" s="3">
        <v>3.0E7</v>
      </c>
      <c r="H141" s="5" t="s">
        <v>476</v>
      </c>
      <c r="I141" s="4">
        <v>2019.0</v>
      </c>
      <c r="J141" s="4"/>
      <c r="K141" s="4"/>
      <c r="L141" s="4"/>
    </row>
    <row r="142" ht="14.25" customHeight="1">
      <c r="A142" s="2">
        <v>141.0</v>
      </c>
      <c r="B142" s="2" t="s">
        <v>477</v>
      </c>
      <c r="C142" s="2" t="s">
        <v>463</v>
      </c>
      <c r="D142" s="3">
        <v>2.2E9</v>
      </c>
      <c r="E142" s="2" t="s">
        <v>100</v>
      </c>
      <c r="F142" s="4" t="s">
        <v>34</v>
      </c>
    </row>
    <row r="143" ht="14.25" customHeight="1">
      <c r="A143" s="2">
        <v>142.0</v>
      </c>
      <c r="B143" s="2" t="s">
        <v>478</v>
      </c>
      <c r="C143" s="2" t="s">
        <v>463</v>
      </c>
      <c r="D143" s="3">
        <v>2.2E9</v>
      </c>
      <c r="E143" s="2" t="s">
        <v>100</v>
      </c>
      <c r="F143" s="4" t="s">
        <v>34</v>
      </c>
      <c r="G143" s="3">
        <v>5328000.0</v>
      </c>
      <c r="H143" s="5" t="s">
        <v>479</v>
      </c>
      <c r="I143" s="4">
        <v>2026.0</v>
      </c>
      <c r="M143" s="7" t="s">
        <v>480</v>
      </c>
    </row>
    <row r="144" ht="14.25" customHeight="1">
      <c r="A144" s="2">
        <v>143.0</v>
      </c>
      <c r="B144" s="2" t="s">
        <v>481</v>
      </c>
      <c r="C144" s="2" t="s">
        <v>463</v>
      </c>
      <c r="D144" s="3">
        <v>2.2E9</v>
      </c>
      <c r="E144" s="2" t="s">
        <v>100</v>
      </c>
      <c r="F144" s="4" t="s">
        <v>34</v>
      </c>
      <c r="G144" s="3">
        <v>3526000.0</v>
      </c>
      <c r="H144" s="5" t="s">
        <v>482</v>
      </c>
      <c r="I144" s="4">
        <v>2026.0</v>
      </c>
      <c r="M144" s="7" t="s">
        <v>483</v>
      </c>
    </row>
    <row r="145" ht="14.25" customHeight="1">
      <c r="A145" s="2">
        <v>144.0</v>
      </c>
      <c r="B145" s="2" t="s">
        <v>484</v>
      </c>
      <c r="C145" s="2" t="s">
        <v>485</v>
      </c>
      <c r="D145" s="3">
        <v>2.1E9</v>
      </c>
      <c r="E145" s="2" t="s">
        <v>47</v>
      </c>
      <c r="F145" s="4" t="s">
        <v>34</v>
      </c>
      <c r="G145" s="3">
        <v>1.2482485E7</v>
      </c>
      <c r="H145" s="5" t="s">
        <v>486</v>
      </c>
      <c r="I145" s="4">
        <v>2026.0</v>
      </c>
      <c r="M145" s="4" t="s">
        <v>487</v>
      </c>
    </row>
    <row r="146" ht="14.25" customHeight="1">
      <c r="A146" s="2">
        <v>145.0</v>
      </c>
      <c r="B146" s="2" t="s">
        <v>488</v>
      </c>
      <c r="C146" s="2" t="s">
        <v>485</v>
      </c>
      <c r="D146" s="3">
        <v>2.1E9</v>
      </c>
      <c r="E146" s="2" t="s">
        <v>100</v>
      </c>
      <c r="F146" s="4" t="s">
        <v>34</v>
      </c>
      <c r="G146" s="3">
        <v>5512000.0</v>
      </c>
      <c r="H146" s="5" t="s">
        <v>489</v>
      </c>
      <c r="I146" s="4">
        <v>2026.0</v>
      </c>
      <c r="J146" s="4"/>
      <c r="K146" s="4"/>
      <c r="L146" s="4"/>
      <c r="M146" s="14" t="s">
        <v>490</v>
      </c>
    </row>
    <row r="147" ht="14.25" customHeight="1">
      <c r="A147" s="2">
        <v>146.0</v>
      </c>
      <c r="B147" s="2" t="s">
        <v>491</v>
      </c>
      <c r="C147" s="2" t="s">
        <v>485</v>
      </c>
      <c r="D147" s="3">
        <v>2.1E9</v>
      </c>
      <c r="E147" s="2" t="s">
        <v>47</v>
      </c>
      <c r="F147" s="4" t="s">
        <v>34</v>
      </c>
      <c r="G147" s="3">
        <v>1.41E8</v>
      </c>
      <c r="H147" s="5" t="s">
        <v>492</v>
      </c>
      <c r="I147" s="4">
        <v>2022.0</v>
      </c>
      <c r="J147" s="4"/>
      <c r="K147" s="4"/>
      <c r="L147" s="4"/>
    </row>
    <row r="148" ht="14.25" customHeight="1">
      <c r="A148" s="2">
        <v>147.0</v>
      </c>
      <c r="B148" s="2" t="s">
        <v>493</v>
      </c>
      <c r="C148" s="2" t="s">
        <v>485</v>
      </c>
      <c r="D148" s="3">
        <v>2.1E9</v>
      </c>
      <c r="E148" s="2" t="s">
        <v>80</v>
      </c>
      <c r="F148" s="4" t="s">
        <v>34</v>
      </c>
      <c r="G148" s="3">
        <v>1.7E7</v>
      </c>
      <c r="H148" s="5" t="s">
        <v>494</v>
      </c>
      <c r="I148" s="4">
        <v>2026.0</v>
      </c>
      <c r="J148" s="4"/>
      <c r="K148" s="4"/>
      <c r="L148" s="4"/>
    </row>
    <row r="149" ht="14.25" customHeight="1">
      <c r="A149" s="2">
        <v>148.0</v>
      </c>
      <c r="B149" s="2" t="s">
        <v>495</v>
      </c>
      <c r="C149" s="2" t="s">
        <v>485</v>
      </c>
      <c r="D149" s="3">
        <v>2.1E9</v>
      </c>
      <c r="E149" s="2" t="s">
        <v>100</v>
      </c>
      <c r="F149" s="4" t="s">
        <v>18</v>
      </c>
    </row>
    <row r="150" ht="14.25" customHeight="1">
      <c r="A150" s="2">
        <v>149.0</v>
      </c>
      <c r="B150" s="2" t="s">
        <v>496</v>
      </c>
      <c r="C150" s="2" t="s">
        <v>497</v>
      </c>
      <c r="D150" s="3">
        <v>2.0E9</v>
      </c>
      <c r="E150" s="2" t="s">
        <v>47</v>
      </c>
      <c r="F150" s="4" t="s">
        <v>34</v>
      </c>
      <c r="G150" s="3">
        <v>3.4E7</v>
      </c>
      <c r="H150" s="5" t="s">
        <v>498</v>
      </c>
      <c r="I150" s="4">
        <v>2023.0</v>
      </c>
      <c r="J150" s="4"/>
      <c r="K150" s="4"/>
      <c r="L150" s="4"/>
    </row>
    <row r="151" ht="14.25" customHeight="1">
      <c r="A151" s="2">
        <v>150.0</v>
      </c>
      <c r="B151" s="2" t="s">
        <v>499</v>
      </c>
      <c r="C151" s="2" t="s">
        <v>497</v>
      </c>
      <c r="D151" s="3">
        <v>2.0E9</v>
      </c>
      <c r="E151" s="2" t="s">
        <v>113</v>
      </c>
      <c r="F151" s="4" t="s">
        <v>34</v>
      </c>
      <c r="G151" s="11">
        <v>7322885.0</v>
      </c>
      <c r="H151" s="5" t="s">
        <v>500</v>
      </c>
      <c r="I151" s="4">
        <v>2026.0</v>
      </c>
      <c r="J151" s="4"/>
      <c r="K151" s="4"/>
      <c r="L151" s="4"/>
      <c r="M151" s="14" t="s">
        <v>501</v>
      </c>
    </row>
    <row r="152" ht="14.25" customHeight="1">
      <c r="A152" s="2">
        <v>151.0</v>
      </c>
      <c r="B152" s="2" t="s">
        <v>502</v>
      </c>
      <c r="C152" s="2" t="s">
        <v>497</v>
      </c>
      <c r="D152" s="3">
        <v>2.0E9</v>
      </c>
      <c r="E152" s="2" t="s">
        <v>47</v>
      </c>
      <c r="F152" s="4" t="s">
        <v>34</v>
      </c>
      <c r="G152" s="3">
        <v>1.5315861E7</v>
      </c>
      <c r="H152" s="5" t="s">
        <v>503</v>
      </c>
      <c r="I152" s="4">
        <v>2026.0</v>
      </c>
      <c r="J152" s="3">
        <v>1.5315861E7</v>
      </c>
      <c r="K152" s="4">
        <v>2026.0</v>
      </c>
      <c r="L152" s="5" t="s">
        <v>503</v>
      </c>
      <c r="M152" s="7" t="s">
        <v>504</v>
      </c>
    </row>
    <row r="153" ht="14.25" customHeight="1">
      <c r="A153" s="2">
        <v>152.0</v>
      </c>
      <c r="B153" s="2" t="s">
        <v>505</v>
      </c>
      <c r="C153" s="2" t="s">
        <v>497</v>
      </c>
      <c r="D153" s="3">
        <v>2.0E9</v>
      </c>
      <c r="E153" s="2" t="s">
        <v>100</v>
      </c>
      <c r="F153" s="4" t="s">
        <v>34</v>
      </c>
      <c r="G153" s="3">
        <v>4000000.0</v>
      </c>
      <c r="H153" s="5" t="s">
        <v>506</v>
      </c>
      <c r="I153" s="4">
        <v>2025.0</v>
      </c>
      <c r="M153" s="4" t="s">
        <v>507</v>
      </c>
    </row>
    <row r="154" ht="14.25" customHeight="1">
      <c r="A154" s="2">
        <v>153.0</v>
      </c>
      <c r="B154" s="2" t="s">
        <v>508</v>
      </c>
      <c r="C154" s="2" t="s">
        <v>497</v>
      </c>
      <c r="D154" s="3">
        <v>2.0E9</v>
      </c>
      <c r="E154" s="2" t="s">
        <v>509</v>
      </c>
      <c r="F154" s="4" t="s">
        <v>34</v>
      </c>
      <c r="G154" s="3">
        <v>3.0E7</v>
      </c>
      <c r="H154" s="5" t="s">
        <v>510</v>
      </c>
      <c r="I154" s="4">
        <v>2021.0</v>
      </c>
      <c r="J154" s="3">
        <v>4.75E7</v>
      </c>
      <c r="K154" s="4" t="s">
        <v>511</v>
      </c>
      <c r="L154" s="5" t="s">
        <v>510</v>
      </c>
      <c r="M154" s="12" t="s">
        <v>512</v>
      </c>
    </row>
    <row r="155" ht="14.25" customHeight="1">
      <c r="A155" s="2">
        <v>154.0</v>
      </c>
      <c r="B155" s="2" t="s">
        <v>513</v>
      </c>
      <c r="C155" s="2" t="s">
        <v>497</v>
      </c>
      <c r="D155" s="3">
        <v>2.0E9</v>
      </c>
      <c r="E155" s="2" t="s">
        <v>100</v>
      </c>
      <c r="F155" s="4" t="s">
        <v>34</v>
      </c>
      <c r="K155" s="4"/>
    </row>
    <row r="156" ht="14.25" customHeight="1">
      <c r="A156" s="2">
        <v>155.0</v>
      </c>
      <c r="B156" s="2" t="s">
        <v>514</v>
      </c>
      <c r="C156" s="2" t="s">
        <v>515</v>
      </c>
      <c r="D156" s="3">
        <v>1.9E9</v>
      </c>
      <c r="E156" s="2" t="s">
        <v>100</v>
      </c>
      <c r="F156" s="4" t="s">
        <v>34</v>
      </c>
      <c r="G156" s="3">
        <v>2.7E7</v>
      </c>
      <c r="H156" s="5" t="s">
        <v>516</v>
      </c>
      <c r="I156" s="4">
        <v>2024.0</v>
      </c>
      <c r="J156" s="4"/>
      <c r="K156" s="4"/>
      <c r="L156" s="4"/>
    </row>
    <row r="157" ht="14.25" customHeight="1">
      <c r="A157" s="2">
        <v>156.0</v>
      </c>
      <c r="B157" s="2" t="s">
        <v>517</v>
      </c>
      <c r="C157" s="2" t="s">
        <v>515</v>
      </c>
      <c r="D157" s="3">
        <v>1.9E9</v>
      </c>
      <c r="E157" s="2" t="s">
        <v>80</v>
      </c>
      <c r="F157" s="4" t="s">
        <v>34</v>
      </c>
      <c r="G157" s="3">
        <v>1.4281449E7</v>
      </c>
      <c r="H157" s="5" t="s">
        <v>518</v>
      </c>
      <c r="I157" s="4">
        <v>2026.0</v>
      </c>
      <c r="M157" s="4" t="s">
        <v>519</v>
      </c>
    </row>
    <row r="158" ht="14.25" customHeight="1">
      <c r="A158" s="2">
        <v>157.0</v>
      </c>
      <c r="B158" s="2" t="s">
        <v>520</v>
      </c>
      <c r="C158" s="2" t="s">
        <v>515</v>
      </c>
      <c r="D158" s="3">
        <v>1.9E9</v>
      </c>
      <c r="E158" s="2" t="s">
        <v>100</v>
      </c>
      <c r="F158" s="4" t="s">
        <v>34</v>
      </c>
    </row>
    <row r="159" ht="14.25" customHeight="1">
      <c r="A159" s="2">
        <v>158.0</v>
      </c>
      <c r="B159" s="2" t="s">
        <v>521</v>
      </c>
      <c r="C159" s="2" t="s">
        <v>515</v>
      </c>
      <c r="D159" s="3">
        <v>1.9E9</v>
      </c>
      <c r="E159" s="2" t="s">
        <v>166</v>
      </c>
      <c r="F159" s="4" t="s">
        <v>34</v>
      </c>
      <c r="G159" s="3">
        <v>1.1E8</v>
      </c>
      <c r="H159" s="5" t="s">
        <v>522</v>
      </c>
      <c r="I159" s="4">
        <v>2025.0</v>
      </c>
      <c r="J159" s="4"/>
      <c r="K159" s="4"/>
      <c r="L159" s="4"/>
      <c r="M159" s="4" t="s">
        <v>523</v>
      </c>
    </row>
    <row r="160" ht="14.25" customHeight="1">
      <c r="A160" s="2">
        <v>159.0</v>
      </c>
      <c r="B160" s="2" t="s">
        <v>524</v>
      </c>
      <c r="C160" s="2" t="s">
        <v>515</v>
      </c>
      <c r="D160" s="3">
        <v>1.9E9</v>
      </c>
      <c r="E160" s="2" t="s">
        <v>354</v>
      </c>
      <c r="F160" s="4" t="s">
        <v>34</v>
      </c>
      <c r="G160" s="3">
        <v>1.77E8</v>
      </c>
      <c r="H160" s="5" t="s">
        <v>525</v>
      </c>
      <c r="I160" s="4">
        <v>2021.0</v>
      </c>
      <c r="J160" s="4"/>
      <c r="K160" s="4"/>
      <c r="L160" s="4"/>
    </row>
    <row r="161" ht="14.25" customHeight="1">
      <c r="A161" s="2">
        <v>160.0</v>
      </c>
      <c r="B161" s="2" t="s">
        <v>526</v>
      </c>
      <c r="C161" s="2" t="s">
        <v>527</v>
      </c>
      <c r="D161" s="3">
        <v>1.8E9</v>
      </c>
      <c r="E161" s="2" t="s">
        <v>528</v>
      </c>
      <c r="F161" s="4" t="s">
        <v>34</v>
      </c>
      <c r="G161" s="3">
        <v>6.0E7</v>
      </c>
      <c r="H161" s="5" t="s">
        <v>529</v>
      </c>
      <c r="I161" s="4">
        <v>2025.0</v>
      </c>
      <c r="J161" s="3">
        <v>1.15E8</v>
      </c>
      <c r="K161" s="4">
        <v>2026.0</v>
      </c>
      <c r="L161" s="6" t="s">
        <v>530</v>
      </c>
      <c r="M161" s="4" t="s">
        <v>531</v>
      </c>
    </row>
    <row r="162" ht="14.25" customHeight="1">
      <c r="A162" s="2">
        <v>161.0</v>
      </c>
      <c r="B162" s="2" t="s">
        <v>532</v>
      </c>
      <c r="C162" s="2" t="s">
        <v>527</v>
      </c>
      <c r="D162" s="3">
        <v>1.8E9</v>
      </c>
      <c r="E162" s="2" t="s">
        <v>47</v>
      </c>
      <c r="F162" s="4" t="s">
        <v>34</v>
      </c>
      <c r="G162" s="3"/>
      <c r="H162" s="5" t="s">
        <v>533</v>
      </c>
      <c r="J162" s="3">
        <v>2.9405106E7</v>
      </c>
      <c r="K162" s="4">
        <v>2026.0</v>
      </c>
      <c r="L162" s="4" t="s">
        <v>534</v>
      </c>
      <c r="M162" s="4" t="s">
        <v>535</v>
      </c>
    </row>
    <row r="163" ht="14.25" customHeight="1">
      <c r="A163" s="2">
        <v>162.0</v>
      </c>
      <c r="B163" s="2" t="s">
        <v>536</v>
      </c>
      <c r="C163" s="2" t="s">
        <v>537</v>
      </c>
      <c r="D163" s="3">
        <v>1.7E9</v>
      </c>
      <c r="E163" s="2" t="s">
        <v>538</v>
      </c>
      <c r="F163" s="4" t="s">
        <v>34</v>
      </c>
    </row>
    <row r="164" ht="14.25" customHeight="1">
      <c r="A164" s="2">
        <v>163.0</v>
      </c>
      <c r="B164" s="2" t="s">
        <v>539</v>
      </c>
      <c r="C164" s="2" t="s">
        <v>537</v>
      </c>
      <c r="D164" s="3">
        <v>1.7E9</v>
      </c>
      <c r="E164" s="2" t="s">
        <v>100</v>
      </c>
      <c r="F164" s="4" t="s">
        <v>34</v>
      </c>
    </row>
    <row r="165" ht="14.25" customHeight="1">
      <c r="A165" s="2">
        <v>164.0</v>
      </c>
      <c r="B165" s="2" t="s">
        <v>540</v>
      </c>
      <c r="C165" s="2" t="s">
        <v>537</v>
      </c>
      <c r="D165" s="3">
        <v>1.7E9</v>
      </c>
      <c r="E165" s="2" t="s">
        <v>47</v>
      </c>
      <c r="F165" s="4" t="s">
        <v>34</v>
      </c>
      <c r="G165" s="3">
        <v>2.39E7</v>
      </c>
      <c r="H165" s="5" t="s">
        <v>541</v>
      </c>
      <c r="I165" s="4">
        <v>2026.0</v>
      </c>
      <c r="J165" s="4"/>
      <c r="K165" s="4"/>
      <c r="L165" s="4"/>
    </row>
    <row r="166" ht="14.25" customHeight="1">
      <c r="A166" s="2">
        <v>165.0</v>
      </c>
      <c r="B166" s="2" t="s">
        <v>542</v>
      </c>
      <c r="C166" s="2" t="s">
        <v>537</v>
      </c>
      <c r="D166" s="3">
        <v>1.7E9</v>
      </c>
      <c r="E166" s="2" t="s">
        <v>100</v>
      </c>
      <c r="F166" s="4" t="s">
        <v>34</v>
      </c>
    </row>
    <row r="167" ht="14.25" customHeight="1">
      <c r="A167" s="2">
        <v>166.0</v>
      </c>
      <c r="B167" s="2" t="s">
        <v>543</v>
      </c>
      <c r="C167" s="2" t="s">
        <v>537</v>
      </c>
      <c r="D167" s="3">
        <v>1.7E9</v>
      </c>
      <c r="E167" s="2" t="s">
        <v>100</v>
      </c>
      <c r="F167" s="4" t="s">
        <v>34</v>
      </c>
    </row>
    <row r="168" ht="14.25" customHeight="1">
      <c r="A168" s="2">
        <v>167.0</v>
      </c>
      <c r="B168" s="2" t="s">
        <v>544</v>
      </c>
      <c r="C168" s="2" t="s">
        <v>545</v>
      </c>
      <c r="D168" s="3">
        <v>1.6E9</v>
      </c>
      <c r="E168" s="2" t="s">
        <v>546</v>
      </c>
      <c r="F168" s="4" t="s">
        <v>34</v>
      </c>
    </row>
    <row r="169" ht="14.25" customHeight="1">
      <c r="A169" s="2">
        <v>168.0</v>
      </c>
      <c r="B169" s="2" t="s">
        <v>547</v>
      </c>
      <c r="C169" s="2" t="s">
        <v>545</v>
      </c>
      <c r="D169" s="3">
        <v>1.6E9</v>
      </c>
      <c r="E169" s="2" t="s">
        <v>80</v>
      </c>
      <c r="F169" s="4" t="s">
        <v>34</v>
      </c>
      <c r="G169" s="3">
        <v>7167000.0</v>
      </c>
      <c r="H169" s="5" t="s">
        <v>548</v>
      </c>
      <c r="I169" s="4">
        <v>2026.0</v>
      </c>
      <c r="M169" s="7" t="s">
        <v>549</v>
      </c>
    </row>
    <row r="170" ht="14.25" customHeight="1">
      <c r="A170" s="2">
        <v>169.0</v>
      </c>
      <c r="B170" s="2" t="s">
        <v>550</v>
      </c>
      <c r="C170" s="2" t="s">
        <v>545</v>
      </c>
      <c r="D170" s="3">
        <v>1.6E9</v>
      </c>
      <c r="E170" s="2" t="s">
        <v>308</v>
      </c>
      <c r="F170" s="4" t="s">
        <v>34</v>
      </c>
      <c r="G170" s="3">
        <v>3.582E7</v>
      </c>
      <c r="H170" s="5" t="s">
        <v>551</v>
      </c>
      <c r="I170" s="4">
        <v>2018.0</v>
      </c>
      <c r="J170" s="4"/>
      <c r="K170" s="4"/>
      <c r="L170" s="4"/>
      <c r="M170" s="4" t="s">
        <v>552</v>
      </c>
    </row>
    <row r="171" ht="14.25" customHeight="1">
      <c r="A171" s="2">
        <v>170.0</v>
      </c>
      <c r="B171" s="2" t="s">
        <v>553</v>
      </c>
      <c r="C171" s="2" t="s">
        <v>545</v>
      </c>
      <c r="D171" s="3">
        <v>1.6E9</v>
      </c>
      <c r="E171" s="2" t="s">
        <v>440</v>
      </c>
      <c r="F171" s="4" t="s">
        <v>34</v>
      </c>
    </row>
    <row r="172" ht="14.25" customHeight="1">
      <c r="A172" s="2">
        <v>171.0</v>
      </c>
      <c r="B172" s="2" t="s">
        <v>554</v>
      </c>
      <c r="C172" s="2" t="s">
        <v>545</v>
      </c>
      <c r="D172" s="3">
        <v>1.6E9</v>
      </c>
      <c r="E172" s="2" t="s">
        <v>100</v>
      </c>
      <c r="F172" s="4" t="s">
        <v>34</v>
      </c>
    </row>
    <row r="173" ht="14.25" customHeight="1">
      <c r="A173" s="2">
        <v>172.0</v>
      </c>
      <c r="B173" s="2" t="s">
        <v>555</v>
      </c>
      <c r="C173" s="2" t="s">
        <v>545</v>
      </c>
      <c r="D173" s="3">
        <v>1.6E9</v>
      </c>
      <c r="E173" s="2" t="s">
        <v>47</v>
      </c>
      <c r="F173" s="4" t="s">
        <v>34</v>
      </c>
      <c r="G173" s="3">
        <v>1.5E7</v>
      </c>
      <c r="H173" s="5" t="s">
        <v>556</v>
      </c>
      <c r="I173" s="4">
        <v>2017.0</v>
      </c>
      <c r="J173" s="4"/>
      <c r="K173" s="4"/>
      <c r="L173" s="4"/>
    </row>
    <row r="174" ht="14.25" customHeight="1">
      <c r="A174" s="2">
        <v>173.0</v>
      </c>
      <c r="B174" s="2" t="s">
        <v>557</v>
      </c>
      <c r="C174" s="2" t="s">
        <v>545</v>
      </c>
      <c r="D174" s="3">
        <v>1.6E9</v>
      </c>
      <c r="E174" s="2" t="s">
        <v>308</v>
      </c>
      <c r="F174" s="4" t="s">
        <v>34</v>
      </c>
      <c r="G174" s="3">
        <v>8030000.0</v>
      </c>
      <c r="H174" s="5" t="s">
        <v>558</v>
      </c>
      <c r="I174" s="4">
        <v>2026.0</v>
      </c>
      <c r="J174" s="3">
        <v>8030000.0</v>
      </c>
      <c r="K174" s="4">
        <v>2026.0</v>
      </c>
      <c r="L174" s="6" t="s">
        <v>558</v>
      </c>
      <c r="M174" s="4" t="s">
        <v>559</v>
      </c>
    </row>
    <row r="175" ht="14.25" customHeight="1">
      <c r="A175" s="2">
        <v>174.0</v>
      </c>
      <c r="B175" s="2" t="s">
        <v>560</v>
      </c>
      <c r="C175" s="2" t="s">
        <v>545</v>
      </c>
      <c r="D175" s="3">
        <v>1.6E9</v>
      </c>
      <c r="E175" s="2" t="s">
        <v>100</v>
      </c>
      <c r="F175" s="4" t="s">
        <v>34</v>
      </c>
      <c r="J175" s="3">
        <v>1.0961462E7</v>
      </c>
      <c r="K175" s="4">
        <v>2026.0</v>
      </c>
      <c r="L175" s="5" t="s">
        <v>561</v>
      </c>
      <c r="M175" s="7" t="s">
        <v>562</v>
      </c>
    </row>
    <row r="176" ht="14.25" customHeight="1">
      <c r="A176" s="2">
        <v>175.0</v>
      </c>
      <c r="B176" s="2" t="s">
        <v>563</v>
      </c>
      <c r="C176" s="2" t="s">
        <v>545</v>
      </c>
      <c r="D176" s="3">
        <v>1.6E9</v>
      </c>
      <c r="E176" s="2" t="s">
        <v>63</v>
      </c>
      <c r="F176" s="4" t="s">
        <v>34</v>
      </c>
    </row>
    <row r="177" ht="14.25" customHeight="1">
      <c r="A177" s="2">
        <v>176.0</v>
      </c>
      <c r="B177" s="2" t="s">
        <v>564</v>
      </c>
      <c r="C177" s="2" t="s">
        <v>545</v>
      </c>
      <c r="D177" s="3">
        <v>1.6E9</v>
      </c>
      <c r="E177" s="2" t="s">
        <v>565</v>
      </c>
      <c r="F177" s="4" t="s">
        <v>34</v>
      </c>
    </row>
    <row r="178" ht="14.25" customHeight="1">
      <c r="A178" s="2">
        <v>177.0</v>
      </c>
      <c r="B178" s="2" t="s">
        <v>566</v>
      </c>
      <c r="C178" s="2" t="s">
        <v>567</v>
      </c>
      <c r="D178" s="3">
        <v>1.5E9</v>
      </c>
      <c r="E178" s="2" t="s">
        <v>100</v>
      </c>
      <c r="F178" s="4" t="s">
        <v>34</v>
      </c>
      <c r="G178" s="3">
        <v>1.5398401E7</v>
      </c>
      <c r="H178" s="5" t="s">
        <v>568</v>
      </c>
      <c r="I178" s="4">
        <v>2026.0</v>
      </c>
      <c r="J178" s="3">
        <v>1.5398401E7</v>
      </c>
      <c r="K178" s="4">
        <v>2026.0</v>
      </c>
      <c r="L178" s="4"/>
      <c r="M178" s="3" t="s">
        <v>569</v>
      </c>
    </row>
    <row r="179" ht="14.25" customHeight="1">
      <c r="A179" s="2">
        <v>178.0</v>
      </c>
      <c r="B179" s="2" t="s">
        <v>570</v>
      </c>
      <c r="C179" s="2" t="s">
        <v>567</v>
      </c>
      <c r="D179" s="3">
        <v>1.5E9</v>
      </c>
      <c r="E179" s="2" t="s">
        <v>80</v>
      </c>
      <c r="F179" s="4" t="s">
        <v>34</v>
      </c>
      <c r="G179" s="11">
        <v>1.5713764E7</v>
      </c>
      <c r="H179" s="5" t="s">
        <v>571</v>
      </c>
      <c r="I179" s="4">
        <v>2026.0</v>
      </c>
      <c r="J179" s="3">
        <v>1.5713764E7</v>
      </c>
      <c r="K179" s="4">
        <v>2026.0</v>
      </c>
      <c r="L179" s="8" t="s">
        <v>571</v>
      </c>
      <c r="M179" s="9" t="s">
        <v>572</v>
      </c>
    </row>
    <row r="180" ht="14.25" customHeight="1">
      <c r="A180" s="2">
        <v>179.0</v>
      </c>
      <c r="B180" s="2" t="s">
        <v>573</v>
      </c>
      <c r="C180" s="2" t="s">
        <v>567</v>
      </c>
      <c r="D180" s="3">
        <v>1.5E9</v>
      </c>
      <c r="E180" s="2" t="s">
        <v>47</v>
      </c>
      <c r="F180" s="4" t="s">
        <v>34</v>
      </c>
    </row>
    <row r="181" ht="14.25" customHeight="1">
      <c r="A181" s="2">
        <v>180.0</v>
      </c>
      <c r="B181" s="2" t="s">
        <v>574</v>
      </c>
      <c r="C181" s="2" t="s">
        <v>567</v>
      </c>
      <c r="D181" s="3">
        <v>1.5E9</v>
      </c>
      <c r="E181" s="2" t="s">
        <v>100</v>
      </c>
      <c r="F181" s="4" t="s">
        <v>34</v>
      </c>
      <c r="G181" s="11">
        <v>6085000.0</v>
      </c>
      <c r="H181" s="5" t="s">
        <v>575</v>
      </c>
      <c r="I181" s="4">
        <v>2026.0</v>
      </c>
      <c r="J181" s="3">
        <v>6016000.0</v>
      </c>
      <c r="K181" s="4">
        <v>2026.0</v>
      </c>
      <c r="L181" s="8" t="s">
        <v>575</v>
      </c>
      <c r="M181" s="4" t="s">
        <v>576</v>
      </c>
    </row>
    <row r="182" ht="14.25" customHeight="1">
      <c r="A182" s="2">
        <v>181.0</v>
      </c>
      <c r="B182" s="2" t="s">
        <v>577</v>
      </c>
      <c r="C182" s="2" t="s">
        <v>567</v>
      </c>
      <c r="D182" s="3">
        <v>1.5E9</v>
      </c>
      <c r="E182" s="2" t="s">
        <v>100</v>
      </c>
      <c r="F182" s="4" t="s">
        <v>34</v>
      </c>
    </row>
    <row r="183" ht="14.25" customHeight="1">
      <c r="A183" s="2">
        <v>182.0</v>
      </c>
      <c r="B183" s="2" t="s">
        <v>578</v>
      </c>
      <c r="C183" s="2" t="s">
        <v>567</v>
      </c>
      <c r="D183" s="3">
        <v>1.5E9</v>
      </c>
      <c r="E183" s="2" t="s">
        <v>579</v>
      </c>
      <c r="F183" s="4" t="s">
        <v>34</v>
      </c>
    </row>
    <row r="184" ht="14.25" customHeight="1">
      <c r="A184" s="2">
        <v>183.0</v>
      </c>
      <c r="B184" s="2" t="s">
        <v>580</v>
      </c>
      <c r="C184" s="2" t="s">
        <v>567</v>
      </c>
      <c r="D184" s="3">
        <v>1.5E9</v>
      </c>
      <c r="E184" s="2" t="s">
        <v>100</v>
      </c>
      <c r="F184" s="4" t="s">
        <v>34</v>
      </c>
    </row>
    <row r="185" ht="14.25" customHeight="1">
      <c r="A185" s="2">
        <v>184.0</v>
      </c>
      <c r="B185" s="2" t="s">
        <v>581</v>
      </c>
      <c r="C185" s="2" t="s">
        <v>567</v>
      </c>
      <c r="D185" s="3">
        <v>1.5E9</v>
      </c>
      <c r="E185" s="2" t="s">
        <v>218</v>
      </c>
      <c r="F185" s="4" t="s">
        <v>34</v>
      </c>
      <c r="G185" s="3">
        <v>4.0E7</v>
      </c>
      <c r="H185" s="5" t="s">
        <v>582</v>
      </c>
      <c r="I185" s="4">
        <v>2024.0</v>
      </c>
      <c r="J185" s="3">
        <v>8195833.0</v>
      </c>
      <c r="K185" s="4">
        <v>2026.0</v>
      </c>
      <c r="L185" s="4" t="s">
        <v>583</v>
      </c>
      <c r="M185" s="13" t="s">
        <v>584</v>
      </c>
    </row>
    <row r="186" ht="14.25" customHeight="1">
      <c r="A186" s="2">
        <v>185.0</v>
      </c>
      <c r="B186" s="2" t="s">
        <v>585</v>
      </c>
      <c r="C186" s="2" t="s">
        <v>567</v>
      </c>
      <c r="D186" s="3">
        <v>1.5E9</v>
      </c>
      <c r="E186" s="2" t="s">
        <v>586</v>
      </c>
      <c r="F186" s="4" t="s">
        <v>34</v>
      </c>
      <c r="G186" s="3">
        <v>3654299.0</v>
      </c>
      <c r="H186" s="5" t="s">
        <v>587</v>
      </c>
      <c r="I186" s="4">
        <v>2026.0</v>
      </c>
      <c r="J186" s="3">
        <v>3.1118167E7</v>
      </c>
      <c r="K186" s="4">
        <v>2026.0</v>
      </c>
      <c r="L186" s="5" t="s">
        <v>588</v>
      </c>
      <c r="M186" s="4" t="s">
        <v>589</v>
      </c>
    </row>
    <row r="187" ht="14.25" customHeight="1">
      <c r="A187" s="2">
        <v>186.0</v>
      </c>
      <c r="B187" s="2" t="s">
        <v>590</v>
      </c>
      <c r="C187" s="2" t="s">
        <v>591</v>
      </c>
      <c r="D187" s="3">
        <v>1.4E9</v>
      </c>
      <c r="E187" s="2" t="s">
        <v>47</v>
      </c>
      <c r="F187" s="4" t="s">
        <v>34</v>
      </c>
      <c r="G187" s="3">
        <v>7196000.0</v>
      </c>
      <c r="H187" s="5" t="s">
        <v>592</v>
      </c>
      <c r="I187" s="4">
        <v>2026.0</v>
      </c>
      <c r="J187" s="3">
        <v>1.9420738E7</v>
      </c>
      <c r="K187" s="4">
        <v>2026.0</v>
      </c>
      <c r="L187" s="10" t="s">
        <v>593</v>
      </c>
      <c r="M187" s="10" t="s">
        <v>594</v>
      </c>
    </row>
    <row r="188" ht="14.25" customHeight="1">
      <c r="A188" s="2">
        <v>187.0</v>
      </c>
      <c r="B188" s="2" t="s">
        <v>595</v>
      </c>
      <c r="C188" s="2" t="s">
        <v>591</v>
      </c>
      <c r="D188" s="3">
        <v>1.4E9</v>
      </c>
      <c r="E188" s="2" t="s">
        <v>218</v>
      </c>
      <c r="F188" s="4" t="s">
        <v>34</v>
      </c>
      <c r="G188" s="3">
        <v>7271292.0</v>
      </c>
      <c r="H188" s="5" t="s">
        <v>596</v>
      </c>
      <c r="I188" s="4">
        <v>2026.0</v>
      </c>
      <c r="J188" s="3">
        <v>7271292.0</v>
      </c>
      <c r="K188" s="4">
        <v>2026.0</v>
      </c>
      <c r="L188" s="5" t="s">
        <v>596</v>
      </c>
      <c r="M188" s="13" t="s">
        <v>597</v>
      </c>
    </row>
    <row r="189" ht="14.25" customHeight="1">
      <c r="A189" s="2">
        <v>188.0</v>
      </c>
      <c r="B189" s="2" t="s">
        <v>598</v>
      </c>
      <c r="C189" s="2" t="s">
        <v>591</v>
      </c>
      <c r="D189" s="3">
        <v>1.4E9</v>
      </c>
      <c r="E189" s="2" t="s">
        <v>100</v>
      </c>
      <c r="F189" s="4" t="s">
        <v>34</v>
      </c>
      <c r="G189" s="3">
        <v>2850000.0</v>
      </c>
      <c r="H189" s="5" t="s">
        <v>599</v>
      </c>
      <c r="I189" s="4">
        <v>2005.0</v>
      </c>
      <c r="J189" s="3">
        <v>8904500.0</v>
      </c>
      <c r="K189" s="4">
        <v>2026.0</v>
      </c>
      <c r="L189" s="10" t="s">
        <v>600</v>
      </c>
      <c r="M189" s="4" t="s">
        <v>601</v>
      </c>
    </row>
    <row r="190" ht="14.25" customHeight="1">
      <c r="A190" s="2">
        <v>189.0</v>
      </c>
      <c r="B190" s="2" t="s">
        <v>602</v>
      </c>
      <c r="C190" s="2" t="s">
        <v>591</v>
      </c>
      <c r="D190" s="3">
        <v>1.4E9</v>
      </c>
      <c r="E190" s="2" t="s">
        <v>47</v>
      </c>
      <c r="F190" s="4" t="s">
        <v>34</v>
      </c>
      <c r="G190" s="3">
        <v>2.95E7</v>
      </c>
      <c r="H190" s="8" t="s">
        <v>603</v>
      </c>
      <c r="I190" s="4">
        <v>2025.0</v>
      </c>
      <c r="J190" s="3">
        <v>2.95E7</v>
      </c>
      <c r="K190" s="4">
        <v>2026.0</v>
      </c>
      <c r="L190" s="4" t="s">
        <v>604</v>
      </c>
      <c r="M190" s="10" t="s">
        <v>605</v>
      </c>
    </row>
    <row r="191" ht="14.25" customHeight="1">
      <c r="A191" s="2">
        <v>190.0</v>
      </c>
      <c r="B191" s="2" t="s">
        <v>606</v>
      </c>
      <c r="C191" s="2" t="s">
        <v>591</v>
      </c>
      <c r="D191" s="3">
        <v>1.4E9</v>
      </c>
      <c r="E191" s="2" t="s">
        <v>17</v>
      </c>
      <c r="F191" s="4" t="s">
        <v>34</v>
      </c>
    </row>
    <row r="192" ht="14.25" customHeight="1">
      <c r="A192" s="2">
        <v>191.0</v>
      </c>
      <c r="B192" s="4" t="s">
        <v>607</v>
      </c>
      <c r="C192" s="2" t="s">
        <v>591</v>
      </c>
      <c r="D192" s="3">
        <v>1.4E9</v>
      </c>
      <c r="E192" s="2" t="s">
        <v>90</v>
      </c>
      <c r="F192" s="4" t="s">
        <v>34</v>
      </c>
      <c r="M192" s="7" t="s">
        <v>608</v>
      </c>
    </row>
    <row r="193" ht="14.25" customHeight="1">
      <c r="A193" s="2">
        <v>192.0</v>
      </c>
      <c r="B193" s="2" t="s">
        <v>609</v>
      </c>
      <c r="C193" s="2" t="s">
        <v>610</v>
      </c>
      <c r="D193" s="3">
        <v>1.3E9</v>
      </c>
      <c r="E193" s="2" t="s">
        <v>611</v>
      </c>
      <c r="F193" s="4" t="s">
        <v>34</v>
      </c>
      <c r="G193" s="11">
        <v>2648000.0</v>
      </c>
      <c r="H193" s="5" t="s">
        <v>612</v>
      </c>
      <c r="I193" s="4">
        <v>2026.0</v>
      </c>
      <c r="J193" s="4"/>
      <c r="K193" s="4"/>
      <c r="L193" s="4"/>
      <c r="M193" s="6" t="s">
        <v>613</v>
      </c>
    </row>
    <row r="194" ht="14.25" customHeight="1">
      <c r="A194" s="2">
        <v>193.0</v>
      </c>
      <c r="B194" s="2" t="s">
        <v>614</v>
      </c>
      <c r="C194" s="2" t="s">
        <v>610</v>
      </c>
      <c r="D194" s="3">
        <v>1.3E9</v>
      </c>
      <c r="E194" s="2" t="s">
        <v>268</v>
      </c>
      <c r="F194" s="4" t="s">
        <v>34</v>
      </c>
      <c r="J194" s="3">
        <v>8089000.0</v>
      </c>
      <c r="K194" s="4">
        <v>2024.0</v>
      </c>
      <c r="L194" s="5" t="s">
        <v>615</v>
      </c>
      <c r="M194" s="4" t="s">
        <v>616</v>
      </c>
    </row>
    <row r="195" ht="14.25" customHeight="1">
      <c r="A195" s="2">
        <v>194.0</v>
      </c>
      <c r="B195" s="2" t="s">
        <v>617</v>
      </c>
      <c r="C195" s="2" t="s">
        <v>610</v>
      </c>
      <c r="D195" s="3">
        <v>1.3E9</v>
      </c>
      <c r="E195" s="2" t="s">
        <v>268</v>
      </c>
      <c r="F195" s="4" t="s">
        <v>34</v>
      </c>
      <c r="G195" s="11">
        <v>3006000.0</v>
      </c>
      <c r="H195" s="5" t="s">
        <v>618</v>
      </c>
      <c r="I195" s="4">
        <v>2026.0</v>
      </c>
      <c r="J195" s="3">
        <v>1.4634965E7</v>
      </c>
      <c r="K195" s="4">
        <v>2026.0</v>
      </c>
      <c r="L195" s="4" t="s">
        <v>619</v>
      </c>
      <c r="M195" s="12" t="s">
        <v>620</v>
      </c>
    </row>
    <row r="196" ht="14.25" customHeight="1">
      <c r="A196" s="2">
        <v>195.0</v>
      </c>
      <c r="B196" s="2" t="s">
        <v>621</v>
      </c>
      <c r="C196" s="2" t="s">
        <v>610</v>
      </c>
      <c r="D196" s="3">
        <v>1.3E9</v>
      </c>
      <c r="E196" s="2" t="s">
        <v>238</v>
      </c>
      <c r="F196" s="4" t="s">
        <v>34</v>
      </c>
      <c r="J196" s="3">
        <v>1.3E7</v>
      </c>
      <c r="K196" s="4">
        <v>2013.0</v>
      </c>
      <c r="L196" s="5" t="s">
        <v>622</v>
      </c>
    </row>
    <row r="197" ht="14.25" customHeight="1">
      <c r="A197" s="2">
        <v>196.0</v>
      </c>
      <c r="B197" s="2" t="s">
        <v>623</v>
      </c>
      <c r="C197" s="2" t="s">
        <v>610</v>
      </c>
      <c r="D197" s="3">
        <v>1.3E9</v>
      </c>
      <c r="E197" s="2" t="s">
        <v>17</v>
      </c>
      <c r="F197" s="4" t="s">
        <v>34</v>
      </c>
      <c r="G197" s="3">
        <v>3.5E7</v>
      </c>
      <c r="H197" s="5" t="s">
        <v>624</v>
      </c>
      <c r="I197" s="4">
        <v>2013.0</v>
      </c>
      <c r="J197" s="4"/>
      <c r="K197" s="4"/>
      <c r="L197" s="4"/>
    </row>
    <row r="198" ht="14.25" customHeight="1">
      <c r="A198" s="2">
        <v>197.0</v>
      </c>
      <c r="B198" s="2" t="s">
        <v>625</v>
      </c>
      <c r="C198" s="2" t="s">
        <v>610</v>
      </c>
      <c r="D198" s="3">
        <v>1.3E9</v>
      </c>
      <c r="E198" s="2" t="s">
        <v>626</v>
      </c>
      <c r="F198" s="4" t="s">
        <v>34</v>
      </c>
      <c r="G198" s="3">
        <v>1.6047864E7</v>
      </c>
      <c r="H198" s="5" t="s">
        <v>627</v>
      </c>
      <c r="I198" s="4">
        <v>2026.0</v>
      </c>
      <c r="J198" s="3">
        <v>1.6047864E7</v>
      </c>
      <c r="K198" s="4">
        <v>2026.0</v>
      </c>
      <c r="L198" s="5" t="s">
        <v>627</v>
      </c>
      <c r="M198" s="4" t="s">
        <v>628</v>
      </c>
    </row>
    <row r="199" ht="14.25" customHeight="1">
      <c r="A199" s="2">
        <v>198.0</v>
      </c>
      <c r="B199" s="2" t="s">
        <v>629</v>
      </c>
      <c r="C199" s="2" t="s">
        <v>610</v>
      </c>
      <c r="D199" s="3">
        <v>1.3E9</v>
      </c>
      <c r="E199" s="2" t="s">
        <v>263</v>
      </c>
      <c r="F199" s="4" t="s">
        <v>34</v>
      </c>
    </row>
    <row r="200" ht="14.25" customHeight="1">
      <c r="A200" s="2">
        <v>199.0</v>
      </c>
      <c r="B200" s="2" t="s">
        <v>630</v>
      </c>
      <c r="C200" s="2" t="s">
        <v>610</v>
      </c>
      <c r="D200" s="3">
        <v>1.3E9</v>
      </c>
      <c r="E200" s="2" t="s">
        <v>17</v>
      </c>
      <c r="F200" s="4" t="s">
        <v>34</v>
      </c>
      <c r="J200" s="3">
        <v>6797000.0</v>
      </c>
      <c r="L200" s="5" t="s">
        <v>631</v>
      </c>
      <c r="M200" s="4" t="s">
        <v>632</v>
      </c>
    </row>
    <row r="201" ht="14.25" customHeight="1">
      <c r="A201" s="2">
        <v>200.0</v>
      </c>
      <c r="B201" s="2" t="s">
        <v>633</v>
      </c>
      <c r="C201" s="2" t="s">
        <v>610</v>
      </c>
      <c r="D201" s="3">
        <v>1.3E9</v>
      </c>
      <c r="E201" s="2" t="s">
        <v>47</v>
      </c>
      <c r="F201" s="4" t="s">
        <v>34</v>
      </c>
      <c r="G201" s="3">
        <v>3.7E7</v>
      </c>
      <c r="H201" s="5" t="s">
        <v>634</v>
      </c>
      <c r="I201" s="4">
        <v>2025.0</v>
      </c>
      <c r="J201" s="3">
        <v>7.0E7</v>
      </c>
      <c r="K201" s="4">
        <v>2026.0</v>
      </c>
      <c r="L201" s="8" t="s">
        <v>635</v>
      </c>
    </row>
    <row r="202" ht="14.25" customHeight="1">
      <c r="A202" s="2">
        <v>201.0</v>
      </c>
      <c r="B202" s="2" t="s">
        <v>636</v>
      </c>
      <c r="C202" s="2" t="s">
        <v>610</v>
      </c>
      <c r="D202" s="3">
        <v>1.3E9</v>
      </c>
      <c r="E202" s="2" t="s">
        <v>100</v>
      </c>
      <c r="F202" s="4" t="s">
        <v>34</v>
      </c>
    </row>
    <row r="203" ht="14.25" customHeight="1">
      <c r="A203" s="2">
        <v>202.0</v>
      </c>
      <c r="B203" s="2" t="s">
        <v>637</v>
      </c>
      <c r="C203" s="2" t="s">
        <v>610</v>
      </c>
      <c r="D203" s="3">
        <v>1.3E9</v>
      </c>
      <c r="E203" s="2" t="s">
        <v>100</v>
      </c>
      <c r="F203" s="4" t="s">
        <v>34</v>
      </c>
    </row>
    <row r="204" ht="14.25" customHeight="1">
      <c r="A204" s="2">
        <v>203.0</v>
      </c>
      <c r="B204" s="15" t="s">
        <v>638</v>
      </c>
      <c r="C204" s="2" t="s">
        <v>639</v>
      </c>
      <c r="D204" s="3">
        <v>1.2E9</v>
      </c>
      <c r="E204" s="2" t="s">
        <v>100</v>
      </c>
      <c r="F204" s="4" t="s">
        <v>34</v>
      </c>
    </row>
    <row r="205" ht="14.25" customHeight="1">
      <c r="A205" s="2">
        <v>204.0</v>
      </c>
      <c r="B205" s="2" t="s">
        <v>640</v>
      </c>
      <c r="C205" s="2" t="s">
        <v>639</v>
      </c>
      <c r="D205" s="3">
        <v>1.2E9</v>
      </c>
      <c r="E205" s="2" t="s">
        <v>100</v>
      </c>
      <c r="F205" s="4" t="s">
        <v>34</v>
      </c>
    </row>
    <row r="206" ht="14.25" customHeight="1">
      <c r="A206" s="2">
        <v>205.0</v>
      </c>
      <c r="B206" s="2" t="s">
        <v>641</v>
      </c>
      <c r="C206" s="2" t="s">
        <v>639</v>
      </c>
      <c r="D206" s="3">
        <v>1.2E9</v>
      </c>
      <c r="E206" s="2" t="s">
        <v>47</v>
      </c>
      <c r="F206" s="4" t="s">
        <v>34</v>
      </c>
      <c r="G206" s="3">
        <v>5413302.0</v>
      </c>
      <c r="H206" s="16" t="s">
        <v>642</v>
      </c>
      <c r="I206" s="4">
        <v>2026.0</v>
      </c>
      <c r="J206" s="3">
        <v>2.1637069E7</v>
      </c>
      <c r="K206" s="4">
        <v>2026.0</v>
      </c>
      <c r="L206" s="5" t="s">
        <v>643</v>
      </c>
      <c r="M206" s="4" t="s">
        <v>644</v>
      </c>
    </row>
    <row r="207" ht="14.25" customHeight="1">
      <c r="A207" s="2">
        <v>206.0</v>
      </c>
      <c r="B207" s="2" t="s">
        <v>645</v>
      </c>
      <c r="C207" s="2" t="s">
        <v>639</v>
      </c>
      <c r="D207" s="3">
        <v>1.2E9</v>
      </c>
      <c r="E207" s="2" t="s">
        <v>191</v>
      </c>
      <c r="F207" s="4" t="s">
        <v>34</v>
      </c>
      <c r="J207" s="3">
        <v>4.3371212E7</v>
      </c>
      <c r="K207" s="4">
        <v>2020.0</v>
      </c>
      <c r="L207" s="4" t="s">
        <v>646</v>
      </c>
      <c r="M207" s="4" t="s">
        <v>647</v>
      </c>
    </row>
    <row r="208" ht="14.25" customHeight="1">
      <c r="A208" s="2">
        <v>207.0</v>
      </c>
      <c r="B208" s="4" t="s">
        <v>648</v>
      </c>
      <c r="C208" s="2" t="s">
        <v>649</v>
      </c>
      <c r="D208" s="3">
        <v>1.1E9</v>
      </c>
      <c r="E208" s="2" t="s">
        <v>47</v>
      </c>
      <c r="F208" s="4" t="s">
        <v>34</v>
      </c>
      <c r="G208" s="3">
        <v>5299000.0</v>
      </c>
      <c r="J208" s="17">
        <v>1.0887E7</v>
      </c>
      <c r="K208" s="4">
        <v>2026.0</v>
      </c>
      <c r="L208" s="4" t="s">
        <v>650</v>
      </c>
      <c r="M208" s="7" t="s">
        <v>651</v>
      </c>
    </row>
    <row r="209" ht="14.25" customHeight="1">
      <c r="A209" s="2">
        <v>208.0</v>
      </c>
      <c r="B209" s="2" t="s">
        <v>652</v>
      </c>
      <c r="C209" s="2" t="s">
        <v>649</v>
      </c>
      <c r="D209" s="3">
        <v>1.1E9</v>
      </c>
      <c r="E209" s="2" t="s">
        <v>17</v>
      </c>
      <c r="F209" s="4" t="s">
        <v>34</v>
      </c>
      <c r="G209" s="11">
        <v>1.3122419E7</v>
      </c>
      <c r="H209" s="5" t="s">
        <v>653</v>
      </c>
      <c r="I209" s="4">
        <v>2026.0</v>
      </c>
      <c r="J209" s="4"/>
      <c r="K209" s="4"/>
      <c r="L209" s="4"/>
      <c r="M209" s="6" t="s">
        <v>654</v>
      </c>
    </row>
    <row r="210" ht="14.25" customHeight="1">
      <c r="A210" s="2">
        <v>209.0</v>
      </c>
      <c r="B210" s="15" t="s">
        <v>655</v>
      </c>
      <c r="C210" s="2" t="s">
        <v>649</v>
      </c>
      <c r="D210" s="3">
        <v>1.1E9</v>
      </c>
      <c r="E210" s="2" t="s">
        <v>63</v>
      </c>
      <c r="F210" s="4" t="s">
        <v>34</v>
      </c>
    </row>
    <row r="211" ht="14.25" customHeight="1">
      <c r="A211" s="2">
        <v>210.0</v>
      </c>
      <c r="B211" s="15" t="s">
        <v>656</v>
      </c>
      <c r="C211" s="2" t="s">
        <v>649</v>
      </c>
      <c r="D211" s="3">
        <v>1.1E9</v>
      </c>
      <c r="E211" s="2" t="s">
        <v>100</v>
      </c>
      <c r="F211" s="4" t="s">
        <v>34</v>
      </c>
    </row>
    <row r="212" ht="14.25" customHeight="1">
      <c r="A212" s="2">
        <v>211.0</v>
      </c>
      <c r="B212" s="2" t="s">
        <v>657</v>
      </c>
      <c r="C212" s="2" t="s">
        <v>649</v>
      </c>
      <c r="D212" s="3">
        <v>1.1E9</v>
      </c>
      <c r="E212" s="2" t="s">
        <v>87</v>
      </c>
      <c r="F212" s="4" t="s">
        <v>34</v>
      </c>
      <c r="G212" s="3">
        <v>2.8090701E7</v>
      </c>
      <c r="H212" s="5" t="s">
        <v>658</v>
      </c>
      <c r="I212" s="4">
        <v>2026.0</v>
      </c>
      <c r="J212" s="4"/>
      <c r="K212" s="4"/>
      <c r="L212" s="12" t="s">
        <v>659</v>
      </c>
      <c r="M212" s="12" t="s">
        <v>660</v>
      </c>
    </row>
    <row r="213" ht="14.25" customHeight="1">
      <c r="A213" s="2">
        <v>212.0</v>
      </c>
      <c r="B213" s="15" t="s">
        <v>661</v>
      </c>
      <c r="C213" s="2" t="s">
        <v>662</v>
      </c>
      <c r="D213" s="3">
        <v>1.0E9</v>
      </c>
      <c r="E213" s="2" t="s">
        <v>100</v>
      </c>
      <c r="F213" s="4" t="s">
        <v>34</v>
      </c>
    </row>
    <row r="214" ht="14.25" customHeight="1">
      <c r="A214" s="2">
        <v>213.0</v>
      </c>
      <c r="B214" s="2" t="s">
        <v>663</v>
      </c>
      <c r="C214" s="2" t="s">
        <v>662</v>
      </c>
      <c r="D214" s="3">
        <v>1.0E9</v>
      </c>
      <c r="E214" s="2" t="s">
        <v>100</v>
      </c>
      <c r="F214" s="4" t="s">
        <v>34</v>
      </c>
    </row>
    <row r="215" ht="14.25" customHeight="1">
      <c r="A215" s="2">
        <v>214.0</v>
      </c>
      <c r="B215" s="2" t="s">
        <v>664</v>
      </c>
      <c r="C215" s="2" t="s">
        <v>662</v>
      </c>
      <c r="D215" s="3">
        <v>1.0E9</v>
      </c>
      <c r="E215" s="2" t="s">
        <v>100</v>
      </c>
      <c r="F215" s="4" t="s">
        <v>34</v>
      </c>
      <c r="G215" s="3">
        <v>6317072.0</v>
      </c>
      <c r="H215" s="5" t="s">
        <v>665</v>
      </c>
      <c r="I215" s="4">
        <v>2026.0</v>
      </c>
      <c r="J215" s="3">
        <v>6317072.0</v>
      </c>
      <c r="K215" s="4">
        <v>2026.0</v>
      </c>
      <c r="L215" s="5" t="s">
        <v>665</v>
      </c>
      <c r="M215" s="7" t="s">
        <v>666</v>
      </c>
    </row>
    <row r="216" ht="14.25" customHeight="1">
      <c r="D216" s="3"/>
    </row>
    <row r="217" ht="14.25" customHeight="1">
      <c r="D217" s="3"/>
    </row>
    <row r="218" ht="14.25" customHeight="1">
      <c r="D218" s="3"/>
    </row>
    <row r="219" ht="14.25" customHeight="1">
      <c r="D219" s="3"/>
    </row>
    <row r="220" ht="14.25" customHeight="1">
      <c r="D220" s="3"/>
    </row>
    <row r="221" ht="14.25" customHeight="1">
      <c r="D221" s="3"/>
    </row>
    <row r="222" ht="14.25" customHeight="1">
      <c r="D222" s="3"/>
    </row>
    <row r="223" ht="14.25" customHeight="1">
      <c r="D223" s="3"/>
    </row>
    <row r="224" ht="14.25" customHeight="1">
      <c r="D224" s="3"/>
    </row>
    <row r="225" ht="14.25" customHeight="1">
      <c r="D225" s="3"/>
    </row>
    <row r="226" ht="14.25" customHeight="1">
      <c r="D226" s="3"/>
    </row>
    <row r="227" ht="14.25" customHeight="1">
      <c r="D227" s="3"/>
    </row>
    <row r="228" ht="14.25" customHeight="1">
      <c r="D228" s="3"/>
    </row>
    <row r="229" ht="14.25" customHeight="1">
      <c r="D229" s="3"/>
    </row>
    <row r="230" ht="14.25" customHeight="1">
      <c r="D230" s="3"/>
    </row>
    <row r="231" ht="14.25" customHeight="1">
      <c r="D231" s="3"/>
    </row>
    <row r="232" ht="14.25" customHeight="1">
      <c r="D232" s="3"/>
    </row>
    <row r="233" ht="14.25" customHeight="1">
      <c r="D233" s="3"/>
    </row>
    <row r="234" ht="14.25" customHeight="1">
      <c r="D234" s="3"/>
    </row>
    <row r="235" ht="14.25" customHeight="1">
      <c r="D235" s="3"/>
    </row>
    <row r="236" ht="14.25" customHeight="1">
      <c r="D236" s="3"/>
    </row>
    <row r="237" ht="14.25" customHeight="1">
      <c r="D237" s="3"/>
    </row>
    <row r="238" ht="14.25" customHeight="1">
      <c r="D238" s="3"/>
    </row>
    <row r="239" ht="14.25" customHeight="1">
      <c r="D239" s="3"/>
    </row>
    <row r="240" ht="14.25" customHeight="1">
      <c r="D240" s="3"/>
    </row>
    <row r="241" ht="14.25" customHeight="1">
      <c r="D241" s="3"/>
    </row>
    <row r="242" ht="14.25" customHeight="1">
      <c r="D242" s="3"/>
    </row>
    <row r="243" ht="14.25" customHeight="1">
      <c r="D243" s="3"/>
    </row>
    <row r="244" ht="14.25" customHeight="1">
      <c r="D244" s="3"/>
    </row>
    <row r="245" ht="14.25" customHeight="1">
      <c r="D245" s="3"/>
    </row>
    <row r="246" ht="14.25" customHeight="1">
      <c r="D246" s="3"/>
    </row>
    <row r="247" ht="14.25" customHeight="1">
      <c r="D247" s="3"/>
    </row>
    <row r="248" ht="14.25" customHeight="1">
      <c r="D248" s="3"/>
    </row>
    <row r="249" ht="14.25" customHeight="1">
      <c r="D249" s="3"/>
    </row>
    <row r="250" ht="14.25" customHeight="1">
      <c r="D250" s="3"/>
    </row>
    <row r="251" ht="14.25" customHeight="1">
      <c r="D251" s="3"/>
    </row>
    <row r="252" ht="14.25" customHeight="1">
      <c r="D252" s="3"/>
    </row>
    <row r="253" ht="14.25" customHeight="1">
      <c r="D253" s="3"/>
    </row>
    <row r="254" ht="14.25" customHeight="1">
      <c r="D254" s="3"/>
    </row>
    <row r="255" ht="14.25" customHeight="1">
      <c r="D255" s="3"/>
    </row>
    <row r="256" ht="14.25" customHeight="1">
      <c r="D256" s="3"/>
    </row>
    <row r="257" ht="14.25" customHeight="1">
      <c r="D257" s="3"/>
    </row>
    <row r="258" ht="14.25" customHeight="1">
      <c r="D258" s="3"/>
    </row>
    <row r="259" ht="14.25" customHeight="1">
      <c r="D259" s="3"/>
    </row>
    <row r="260" ht="14.25" customHeight="1">
      <c r="D260" s="3"/>
    </row>
    <row r="261" ht="14.25" customHeight="1">
      <c r="D261" s="3"/>
    </row>
    <row r="262" ht="14.25" customHeight="1">
      <c r="D262" s="3"/>
    </row>
    <row r="263" ht="14.25" customHeight="1">
      <c r="D263" s="3"/>
    </row>
    <row r="264" ht="14.25" customHeight="1">
      <c r="D264" s="3"/>
    </row>
    <row r="265" ht="14.25" customHeight="1">
      <c r="D265" s="3"/>
    </row>
    <row r="266" ht="14.25" customHeight="1">
      <c r="D266" s="3"/>
    </row>
    <row r="267" ht="14.25" customHeight="1">
      <c r="D267" s="3"/>
    </row>
    <row r="268" ht="14.25" customHeight="1">
      <c r="D268" s="3"/>
    </row>
    <row r="269" ht="14.25" customHeight="1">
      <c r="D269" s="3"/>
    </row>
    <row r="270" ht="14.25" customHeight="1">
      <c r="D270" s="3"/>
    </row>
    <row r="271" ht="14.25" customHeight="1">
      <c r="D271" s="3"/>
    </row>
    <row r="272" ht="14.25" customHeight="1">
      <c r="D272" s="3"/>
    </row>
    <row r="273" ht="14.25" customHeight="1">
      <c r="D273" s="3"/>
    </row>
    <row r="274" ht="14.25" customHeight="1">
      <c r="D274" s="3"/>
    </row>
    <row r="275" ht="14.25" customHeight="1">
      <c r="D275" s="3"/>
    </row>
    <row r="276" ht="14.25" customHeight="1">
      <c r="D276" s="3"/>
    </row>
    <row r="277" ht="14.25" customHeight="1">
      <c r="D277" s="3"/>
    </row>
    <row r="278" ht="14.25" customHeight="1">
      <c r="D278" s="3"/>
    </row>
    <row r="279" ht="14.25" customHeight="1">
      <c r="D279" s="3"/>
    </row>
    <row r="280" ht="14.25" customHeight="1">
      <c r="D280" s="3"/>
    </row>
    <row r="281" ht="14.25" customHeight="1">
      <c r="D281" s="3"/>
    </row>
    <row r="282" ht="14.25" customHeight="1">
      <c r="D282" s="3"/>
    </row>
    <row r="283" ht="14.25" customHeight="1">
      <c r="D283" s="3"/>
    </row>
    <row r="284" ht="14.25" customHeight="1">
      <c r="D284" s="3"/>
    </row>
    <row r="285" ht="14.25" customHeight="1">
      <c r="D285" s="3"/>
    </row>
    <row r="286" ht="14.25" customHeight="1">
      <c r="D286" s="3"/>
    </row>
    <row r="287" ht="14.25" customHeight="1">
      <c r="D287" s="3"/>
    </row>
    <row r="288" ht="14.25" customHeight="1">
      <c r="D288" s="3"/>
    </row>
    <row r="289" ht="14.25" customHeight="1">
      <c r="D289" s="3"/>
    </row>
    <row r="290" ht="14.25" customHeight="1">
      <c r="D290" s="3"/>
    </row>
    <row r="291" ht="14.25" customHeight="1">
      <c r="D291" s="3"/>
    </row>
    <row r="292" ht="14.25" customHeight="1">
      <c r="D292" s="3"/>
    </row>
    <row r="293" ht="14.25" customHeight="1">
      <c r="D293" s="3"/>
    </row>
    <row r="294" ht="14.25" customHeight="1">
      <c r="D294" s="3"/>
    </row>
    <row r="295" ht="14.25" customHeight="1">
      <c r="D295" s="3"/>
    </row>
    <row r="296" ht="14.25" customHeight="1">
      <c r="D296" s="3"/>
    </row>
    <row r="297" ht="14.25" customHeight="1">
      <c r="D297" s="3"/>
    </row>
    <row r="298" ht="14.25" customHeight="1">
      <c r="D298" s="3"/>
    </row>
    <row r="299" ht="14.25" customHeight="1">
      <c r="D299" s="3"/>
    </row>
    <row r="300" ht="14.25" customHeight="1">
      <c r="D300" s="3"/>
    </row>
    <row r="301" ht="14.25" customHeight="1">
      <c r="D301" s="3"/>
    </row>
    <row r="302" ht="14.25" customHeight="1">
      <c r="D302" s="3"/>
    </row>
    <row r="303" ht="14.25" customHeight="1">
      <c r="D303" s="3"/>
    </row>
    <row r="304" ht="14.25" customHeight="1">
      <c r="D304" s="3"/>
    </row>
    <row r="305" ht="14.25" customHeight="1">
      <c r="D305" s="3"/>
    </row>
    <row r="306" ht="14.25" customHeight="1">
      <c r="D306" s="3"/>
    </row>
    <row r="307" ht="14.25" customHeight="1">
      <c r="D307" s="3"/>
    </row>
    <row r="308" ht="14.25" customHeight="1">
      <c r="D308" s="3"/>
    </row>
    <row r="309" ht="14.25" customHeight="1">
      <c r="D309" s="3"/>
    </row>
    <row r="310" ht="14.25" customHeight="1">
      <c r="D310" s="3"/>
    </row>
    <row r="311" ht="14.25" customHeight="1">
      <c r="D311" s="3"/>
    </row>
    <row r="312" ht="14.25" customHeight="1">
      <c r="D312" s="3"/>
    </row>
    <row r="313" ht="14.25" customHeight="1">
      <c r="D313" s="3"/>
    </row>
    <row r="314" ht="14.25" customHeight="1">
      <c r="D314" s="3"/>
    </row>
    <row r="315" ht="14.25" customHeight="1">
      <c r="D315" s="3"/>
    </row>
    <row r="316" ht="14.25" customHeight="1">
      <c r="D316" s="3"/>
    </row>
    <row r="317" ht="14.25" customHeight="1">
      <c r="D317" s="3"/>
    </row>
    <row r="318" ht="14.25" customHeight="1">
      <c r="D318" s="3"/>
    </row>
    <row r="319" ht="14.25" customHeight="1">
      <c r="D319" s="3"/>
    </row>
    <row r="320" ht="14.25" customHeight="1">
      <c r="D320" s="3"/>
    </row>
    <row r="321" ht="14.25" customHeight="1">
      <c r="D321" s="3"/>
    </row>
    <row r="322" ht="14.25" customHeight="1">
      <c r="D322" s="3"/>
    </row>
    <row r="323" ht="14.25" customHeight="1">
      <c r="D323" s="3"/>
    </row>
    <row r="324" ht="14.25" customHeight="1">
      <c r="D324" s="3"/>
    </row>
    <row r="325" ht="14.25" customHeight="1">
      <c r="D325" s="3"/>
    </row>
    <row r="326" ht="14.25" customHeight="1">
      <c r="D326" s="3"/>
    </row>
    <row r="327" ht="14.25" customHeight="1">
      <c r="D327" s="3"/>
    </row>
    <row r="328" ht="14.25" customHeight="1">
      <c r="D328" s="3"/>
    </row>
    <row r="329" ht="14.25" customHeight="1">
      <c r="D329" s="3"/>
    </row>
    <row r="330" ht="14.25" customHeight="1">
      <c r="D330" s="3"/>
    </row>
    <row r="331" ht="14.25" customHeight="1">
      <c r="D331" s="3"/>
    </row>
    <row r="332" ht="14.25" customHeight="1">
      <c r="D332" s="3"/>
    </row>
    <row r="333" ht="14.25" customHeight="1">
      <c r="D333" s="3"/>
    </row>
    <row r="334" ht="14.25" customHeight="1">
      <c r="D334" s="3"/>
    </row>
    <row r="335" ht="14.25" customHeight="1">
      <c r="D335" s="3"/>
    </row>
    <row r="336" ht="14.25" customHeight="1">
      <c r="D336" s="3"/>
    </row>
    <row r="337" ht="14.25" customHeight="1">
      <c r="D337" s="3"/>
    </row>
    <row r="338" ht="14.25" customHeight="1">
      <c r="D338" s="3"/>
    </row>
    <row r="339" ht="14.25" customHeight="1">
      <c r="D339" s="3"/>
    </row>
    <row r="340" ht="14.25" customHeight="1">
      <c r="D340" s="3"/>
    </row>
    <row r="341" ht="14.25" customHeight="1">
      <c r="D341" s="3"/>
    </row>
    <row r="342" ht="14.25" customHeight="1">
      <c r="D342" s="3"/>
    </row>
    <row r="343" ht="14.25" customHeight="1">
      <c r="D343" s="3"/>
    </row>
    <row r="344" ht="14.25" customHeight="1">
      <c r="D344" s="3"/>
    </row>
    <row r="345" ht="14.25" customHeight="1">
      <c r="D345" s="3"/>
    </row>
    <row r="346" ht="14.25" customHeight="1">
      <c r="D346" s="3"/>
    </row>
    <row r="347" ht="14.25" customHeight="1">
      <c r="D347" s="3"/>
    </row>
    <row r="348" ht="14.25" customHeight="1">
      <c r="D348" s="3"/>
    </row>
    <row r="349" ht="14.25" customHeight="1">
      <c r="D349" s="3"/>
    </row>
    <row r="350" ht="14.25" customHeight="1">
      <c r="D350" s="3"/>
    </row>
    <row r="351" ht="14.25" customHeight="1">
      <c r="D351" s="3"/>
    </row>
    <row r="352" ht="14.25" customHeight="1">
      <c r="D352" s="3"/>
    </row>
    <row r="353" ht="14.25" customHeight="1">
      <c r="D353" s="3"/>
    </row>
    <row r="354" ht="14.25" customHeight="1">
      <c r="D354" s="3"/>
    </row>
    <row r="355" ht="14.25" customHeight="1">
      <c r="D355" s="3"/>
    </row>
    <row r="356" ht="14.25" customHeight="1">
      <c r="D356" s="3"/>
    </row>
    <row r="357" ht="14.25" customHeight="1">
      <c r="D357" s="3"/>
    </row>
    <row r="358" ht="14.25" customHeight="1">
      <c r="D358" s="3"/>
    </row>
    <row r="359" ht="14.25" customHeight="1">
      <c r="D359" s="3"/>
    </row>
    <row r="360" ht="14.25" customHeight="1">
      <c r="D360" s="3"/>
    </row>
    <row r="361" ht="14.25" customHeight="1">
      <c r="D361" s="3"/>
    </row>
    <row r="362" ht="14.25" customHeight="1">
      <c r="D362" s="3"/>
    </row>
    <row r="363" ht="14.25" customHeight="1">
      <c r="D363" s="3"/>
    </row>
    <row r="364" ht="14.25" customHeight="1">
      <c r="D364" s="3"/>
    </row>
    <row r="365" ht="14.25" customHeight="1">
      <c r="D365" s="3"/>
    </row>
    <row r="366" ht="14.25" customHeight="1">
      <c r="D366" s="3"/>
    </row>
    <row r="367" ht="14.25" customHeight="1">
      <c r="D367" s="3"/>
    </row>
    <row r="368" ht="14.25" customHeight="1">
      <c r="D368" s="3"/>
    </row>
    <row r="369" ht="14.25" customHeight="1">
      <c r="D369" s="3"/>
    </row>
    <row r="370" ht="14.25" customHeight="1">
      <c r="D370" s="3"/>
    </row>
    <row r="371" ht="14.25" customHeight="1">
      <c r="D371" s="3"/>
    </row>
    <row r="372" ht="14.25" customHeight="1">
      <c r="D372" s="3"/>
    </row>
    <row r="373" ht="14.25" customHeight="1">
      <c r="D373" s="3"/>
    </row>
    <row r="374" ht="14.25" customHeight="1">
      <c r="D374" s="3"/>
    </row>
    <row r="375" ht="14.25" customHeight="1">
      <c r="D375" s="3"/>
    </row>
    <row r="376" ht="14.25" customHeight="1">
      <c r="D376" s="3"/>
    </row>
    <row r="377" ht="14.25" customHeight="1">
      <c r="D377" s="3"/>
    </row>
    <row r="378" ht="14.25" customHeight="1">
      <c r="D378" s="3"/>
    </row>
    <row r="379" ht="14.25" customHeight="1">
      <c r="D379" s="3"/>
    </row>
    <row r="380" ht="14.25" customHeight="1">
      <c r="D380" s="3"/>
    </row>
    <row r="381" ht="14.25" customHeight="1">
      <c r="D381" s="3"/>
    </row>
    <row r="382" ht="14.25" customHeight="1">
      <c r="D382" s="3"/>
    </row>
    <row r="383" ht="14.25" customHeight="1">
      <c r="D383" s="3"/>
    </row>
    <row r="384" ht="14.25" customHeight="1">
      <c r="D384" s="3"/>
    </row>
    <row r="385" ht="14.25" customHeight="1">
      <c r="D385" s="3"/>
    </row>
    <row r="386" ht="14.25" customHeight="1">
      <c r="D386" s="3"/>
    </row>
    <row r="387" ht="14.25" customHeight="1">
      <c r="D387" s="3"/>
    </row>
    <row r="388" ht="14.25" customHeight="1">
      <c r="D388" s="3"/>
    </row>
    <row r="389" ht="14.25" customHeight="1">
      <c r="D389" s="3"/>
    </row>
    <row r="390" ht="14.25" customHeight="1">
      <c r="D390" s="3"/>
    </row>
    <row r="391" ht="14.25" customHeight="1">
      <c r="D391" s="3"/>
    </row>
    <row r="392" ht="14.25" customHeight="1">
      <c r="D392" s="3"/>
    </row>
    <row r="393" ht="14.25" customHeight="1">
      <c r="D393" s="3"/>
    </row>
    <row r="394" ht="14.25" customHeight="1">
      <c r="D394" s="3"/>
    </row>
    <row r="395" ht="14.25" customHeight="1">
      <c r="D395" s="3"/>
    </row>
    <row r="396" ht="14.25" customHeight="1">
      <c r="D396" s="3"/>
    </row>
    <row r="397" ht="14.25" customHeight="1">
      <c r="D397" s="3"/>
    </row>
    <row r="398" ht="14.25" customHeight="1">
      <c r="D398" s="3"/>
    </row>
    <row r="399" ht="14.25" customHeight="1">
      <c r="D399" s="3"/>
    </row>
    <row r="400" ht="14.25" customHeight="1">
      <c r="D400" s="3"/>
    </row>
    <row r="401" ht="14.25" customHeight="1">
      <c r="D401" s="3"/>
    </row>
    <row r="402" ht="14.25" customHeight="1">
      <c r="D402" s="3"/>
    </row>
    <row r="403" ht="14.25" customHeight="1">
      <c r="D403" s="3"/>
    </row>
    <row r="404" ht="14.25" customHeight="1">
      <c r="D404" s="3"/>
    </row>
    <row r="405" ht="14.25" customHeight="1">
      <c r="D405" s="3"/>
    </row>
    <row r="406" ht="14.25" customHeight="1">
      <c r="D406" s="3"/>
    </row>
    <row r="407" ht="14.25" customHeight="1">
      <c r="D407" s="3"/>
    </row>
    <row r="408" ht="14.25" customHeight="1">
      <c r="D408" s="3"/>
    </row>
    <row r="409" ht="14.25" customHeight="1">
      <c r="D409" s="3"/>
    </row>
    <row r="410" ht="14.25" customHeight="1">
      <c r="D410" s="3"/>
    </row>
    <row r="411" ht="14.25" customHeight="1">
      <c r="D411" s="3"/>
    </row>
    <row r="412" ht="14.25" customHeight="1">
      <c r="D412" s="3"/>
    </row>
    <row r="413" ht="14.25" customHeight="1">
      <c r="D413" s="3"/>
    </row>
    <row r="414" ht="14.25" customHeight="1">
      <c r="D414" s="3"/>
    </row>
    <row r="415" ht="14.25" customHeight="1">
      <c r="D415" s="3"/>
    </row>
    <row r="416" ht="14.25" customHeight="1">
      <c r="D416" s="3"/>
    </row>
    <row r="417" ht="14.25" customHeight="1">
      <c r="D417" s="3"/>
    </row>
    <row r="418" ht="14.25" customHeight="1">
      <c r="D418" s="3"/>
    </row>
    <row r="419" ht="14.25" customHeight="1">
      <c r="D419" s="3"/>
    </row>
    <row r="420" ht="14.25" customHeight="1">
      <c r="D420" s="3"/>
    </row>
    <row r="421" ht="14.25" customHeight="1">
      <c r="D421" s="3"/>
    </row>
    <row r="422" ht="14.25" customHeight="1">
      <c r="D422" s="3"/>
    </row>
    <row r="423" ht="14.25" customHeight="1">
      <c r="D423" s="3"/>
    </row>
    <row r="424" ht="14.25" customHeight="1">
      <c r="D424" s="3"/>
    </row>
    <row r="425" ht="14.25" customHeight="1">
      <c r="D425" s="3"/>
    </row>
    <row r="426" ht="14.25" customHeight="1">
      <c r="D426" s="3"/>
    </row>
    <row r="427" ht="14.25" customHeight="1">
      <c r="D427" s="3"/>
    </row>
    <row r="428" ht="14.25" customHeight="1">
      <c r="D428" s="3"/>
    </row>
    <row r="429" ht="14.25" customHeight="1">
      <c r="D429" s="3"/>
    </row>
    <row r="430" ht="14.25" customHeight="1">
      <c r="D430" s="3"/>
    </row>
    <row r="431" ht="14.25" customHeight="1">
      <c r="D431" s="3"/>
    </row>
    <row r="432" ht="14.25" customHeight="1">
      <c r="D432" s="3"/>
    </row>
    <row r="433" ht="14.25" customHeight="1">
      <c r="D433" s="3"/>
    </row>
    <row r="434" ht="14.25" customHeight="1">
      <c r="D434" s="3"/>
    </row>
    <row r="435" ht="14.25" customHeight="1">
      <c r="D435" s="3"/>
    </row>
    <row r="436" ht="14.25" customHeight="1">
      <c r="D436" s="3"/>
    </row>
    <row r="437" ht="14.25" customHeight="1">
      <c r="D437" s="3"/>
    </row>
    <row r="438" ht="14.25" customHeight="1">
      <c r="D438" s="3"/>
    </row>
    <row r="439" ht="14.25" customHeight="1">
      <c r="D439" s="3"/>
    </row>
    <row r="440" ht="14.25" customHeight="1">
      <c r="D440" s="3"/>
    </row>
    <row r="441" ht="14.25" customHeight="1">
      <c r="D441" s="3"/>
    </row>
    <row r="442" ht="14.25" customHeight="1">
      <c r="D442" s="3"/>
    </row>
    <row r="443" ht="14.25" customHeight="1">
      <c r="D443" s="3"/>
    </row>
    <row r="444" ht="14.25" customHeight="1">
      <c r="D444" s="3"/>
    </row>
    <row r="445" ht="14.25" customHeight="1">
      <c r="D445" s="3"/>
    </row>
    <row r="446" ht="14.25" customHeight="1">
      <c r="D446" s="3"/>
    </row>
    <row r="447" ht="14.25" customHeight="1">
      <c r="D447" s="3"/>
    </row>
    <row r="448" ht="14.25" customHeight="1">
      <c r="D448" s="3"/>
    </row>
    <row r="449" ht="14.25" customHeight="1">
      <c r="D449" s="3"/>
    </row>
    <row r="450" ht="14.25" customHeight="1">
      <c r="D450" s="3"/>
    </row>
    <row r="451" ht="14.25" customHeight="1">
      <c r="D451" s="3"/>
    </row>
    <row r="452" ht="14.25" customHeight="1">
      <c r="D452" s="3"/>
    </row>
    <row r="453" ht="14.25" customHeight="1">
      <c r="D453" s="3"/>
    </row>
    <row r="454" ht="14.25" customHeight="1">
      <c r="D454" s="3"/>
    </row>
    <row r="455" ht="14.25" customHeight="1">
      <c r="D455" s="3"/>
    </row>
    <row r="456" ht="14.25" customHeight="1">
      <c r="D456" s="3"/>
    </row>
    <row r="457" ht="14.25" customHeight="1">
      <c r="D457" s="3"/>
    </row>
    <row r="458" ht="14.25" customHeight="1">
      <c r="D458" s="3"/>
    </row>
    <row r="459" ht="14.25" customHeight="1">
      <c r="D459" s="3"/>
    </row>
    <row r="460" ht="14.25" customHeight="1">
      <c r="D460" s="3"/>
    </row>
    <row r="461" ht="14.25" customHeight="1">
      <c r="D461" s="3"/>
    </row>
    <row r="462" ht="14.25" customHeight="1">
      <c r="D462" s="3"/>
    </row>
    <row r="463" ht="14.25" customHeight="1">
      <c r="D463" s="3"/>
    </row>
    <row r="464" ht="14.25" customHeight="1">
      <c r="D464" s="3"/>
    </row>
    <row r="465" ht="14.25" customHeight="1">
      <c r="D465" s="3"/>
    </row>
    <row r="466" ht="14.25" customHeight="1">
      <c r="D466" s="3"/>
    </row>
    <row r="467" ht="14.25" customHeight="1">
      <c r="D467" s="3"/>
    </row>
    <row r="468" ht="14.25" customHeight="1">
      <c r="D468" s="3"/>
    </row>
    <row r="469" ht="14.25" customHeight="1">
      <c r="D469" s="3"/>
    </row>
    <row r="470" ht="14.25" customHeight="1">
      <c r="D470" s="3"/>
    </row>
    <row r="471" ht="14.25" customHeight="1">
      <c r="D471" s="3"/>
    </row>
    <row r="472" ht="14.25" customHeight="1">
      <c r="D472" s="3"/>
    </row>
    <row r="473" ht="14.25" customHeight="1">
      <c r="D473" s="3"/>
    </row>
    <row r="474" ht="14.25" customHeight="1">
      <c r="D474" s="3"/>
    </row>
    <row r="475" ht="14.25" customHeight="1">
      <c r="D475" s="3"/>
    </row>
    <row r="476" ht="14.25" customHeight="1">
      <c r="D476" s="3"/>
    </row>
    <row r="477" ht="14.25" customHeight="1">
      <c r="D477" s="3"/>
    </row>
    <row r="478" ht="14.25" customHeight="1">
      <c r="D478" s="3"/>
    </row>
    <row r="479" ht="14.25" customHeight="1">
      <c r="D479" s="3"/>
    </row>
    <row r="480" ht="14.25" customHeight="1">
      <c r="D480" s="3"/>
    </row>
    <row r="481" ht="14.25" customHeight="1">
      <c r="D481" s="3"/>
    </row>
    <row r="482" ht="14.25" customHeight="1">
      <c r="D482" s="3"/>
    </row>
    <row r="483" ht="14.25" customHeight="1">
      <c r="D483" s="3"/>
    </row>
    <row r="484" ht="14.25" customHeight="1">
      <c r="D484" s="3"/>
    </row>
    <row r="485" ht="14.25" customHeight="1">
      <c r="D485" s="3"/>
    </row>
    <row r="486" ht="14.25" customHeight="1">
      <c r="D486" s="3"/>
    </row>
    <row r="487" ht="14.25" customHeight="1">
      <c r="D487" s="3"/>
    </row>
    <row r="488" ht="14.25" customHeight="1">
      <c r="D488" s="3"/>
    </row>
    <row r="489" ht="14.25" customHeight="1">
      <c r="D489" s="3"/>
    </row>
    <row r="490" ht="14.25" customHeight="1">
      <c r="D490" s="3"/>
    </row>
    <row r="491" ht="14.25" customHeight="1">
      <c r="D491" s="3"/>
    </row>
    <row r="492" ht="14.25" customHeight="1">
      <c r="D492" s="3"/>
    </row>
    <row r="493" ht="14.25" customHeight="1">
      <c r="D493" s="3"/>
    </row>
    <row r="494" ht="14.25" customHeight="1">
      <c r="D494" s="3"/>
    </row>
    <row r="495" ht="14.25" customHeight="1">
      <c r="D495" s="3"/>
    </row>
    <row r="496" ht="14.25" customHeight="1">
      <c r="D496" s="3"/>
    </row>
    <row r="497" ht="14.25" customHeight="1">
      <c r="D497" s="3"/>
    </row>
    <row r="498" ht="14.25" customHeight="1">
      <c r="D498" s="3"/>
    </row>
    <row r="499" ht="14.25" customHeight="1">
      <c r="D499" s="3"/>
    </row>
    <row r="500" ht="14.25" customHeight="1">
      <c r="D500" s="3"/>
    </row>
    <row r="501" ht="14.25" customHeight="1">
      <c r="D501" s="3"/>
    </row>
    <row r="502" ht="14.25" customHeight="1">
      <c r="D502" s="3"/>
    </row>
    <row r="503" ht="14.25" customHeight="1">
      <c r="D503" s="3"/>
    </row>
    <row r="504" ht="14.25" customHeight="1">
      <c r="D504" s="3"/>
    </row>
    <row r="505" ht="14.25" customHeight="1">
      <c r="D505" s="3"/>
    </row>
    <row r="506" ht="14.25" customHeight="1">
      <c r="D506" s="3"/>
    </row>
    <row r="507" ht="14.25" customHeight="1">
      <c r="D507" s="3"/>
    </row>
    <row r="508" ht="14.25" customHeight="1">
      <c r="D508" s="3"/>
    </row>
    <row r="509" ht="14.25" customHeight="1">
      <c r="D509" s="3"/>
    </row>
    <row r="510" ht="14.25" customHeight="1">
      <c r="D510" s="3"/>
    </row>
    <row r="511" ht="14.25" customHeight="1">
      <c r="D511" s="3"/>
    </row>
    <row r="512" ht="14.25" customHeight="1">
      <c r="D512" s="3"/>
    </row>
    <row r="513" ht="14.25" customHeight="1">
      <c r="D513" s="3"/>
    </row>
    <row r="514" ht="14.25" customHeight="1">
      <c r="D514" s="3"/>
    </row>
    <row r="515" ht="14.25" customHeight="1">
      <c r="D515" s="3"/>
    </row>
    <row r="516" ht="14.25" customHeight="1">
      <c r="D516" s="3"/>
    </row>
    <row r="517" ht="14.25" customHeight="1">
      <c r="D517" s="3"/>
    </row>
    <row r="518" ht="14.25" customHeight="1">
      <c r="D518" s="3"/>
    </row>
    <row r="519" ht="14.25" customHeight="1">
      <c r="D519" s="3"/>
    </row>
    <row r="520" ht="14.25" customHeight="1">
      <c r="D520" s="3"/>
    </row>
    <row r="521" ht="14.25" customHeight="1">
      <c r="D521" s="3"/>
    </row>
    <row r="522" ht="14.25" customHeight="1">
      <c r="D522" s="3"/>
    </row>
    <row r="523" ht="14.25" customHeight="1">
      <c r="D523" s="3"/>
    </row>
    <row r="524" ht="14.25" customHeight="1">
      <c r="D524" s="3"/>
    </row>
    <row r="525" ht="14.25" customHeight="1">
      <c r="D525" s="3"/>
    </row>
    <row r="526" ht="14.25" customHeight="1">
      <c r="D526" s="3"/>
    </row>
    <row r="527" ht="14.25" customHeight="1">
      <c r="D527" s="3"/>
    </row>
    <row r="528" ht="14.25" customHeight="1">
      <c r="D528" s="3"/>
    </row>
    <row r="529" ht="14.25" customHeight="1">
      <c r="D529" s="3"/>
    </row>
    <row r="530" ht="14.25" customHeight="1">
      <c r="D530" s="3"/>
    </row>
    <row r="531" ht="14.25" customHeight="1">
      <c r="D531" s="3"/>
    </row>
    <row r="532" ht="14.25" customHeight="1">
      <c r="D532" s="3"/>
    </row>
    <row r="533" ht="14.25" customHeight="1">
      <c r="D533" s="3"/>
    </row>
    <row r="534" ht="14.25" customHeight="1">
      <c r="D534" s="3"/>
    </row>
    <row r="535" ht="14.25" customHeight="1">
      <c r="D535" s="3"/>
    </row>
    <row r="536" ht="14.25" customHeight="1">
      <c r="D536" s="3"/>
    </row>
    <row r="537" ht="14.25" customHeight="1">
      <c r="D537" s="3"/>
    </row>
    <row r="538" ht="14.25" customHeight="1">
      <c r="D538" s="3"/>
    </row>
    <row r="539" ht="14.25" customHeight="1">
      <c r="D539" s="3"/>
    </row>
    <row r="540" ht="14.25" customHeight="1">
      <c r="D540" s="3"/>
    </row>
    <row r="541" ht="14.25" customHeight="1">
      <c r="D541" s="3"/>
    </row>
    <row r="542" ht="14.25" customHeight="1">
      <c r="D542" s="3"/>
    </row>
    <row r="543" ht="14.25" customHeight="1">
      <c r="D543" s="3"/>
    </row>
    <row r="544" ht="14.25" customHeight="1">
      <c r="D544" s="3"/>
    </row>
    <row r="545" ht="14.25" customHeight="1">
      <c r="D545" s="3"/>
    </row>
    <row r="546" ht="14.25" customHeight="1">
      <c r="D546" s="3"/>
    </row>
    <row r="547" ht="14.25" customHeight="1">
      <c r="D547" s="3"/>
    </row>
    <row r="548" ht="14.25" customHeight="1">
      <c r="D548" s="3"/>
    </row>
    <row r="549" ht="14.25" customHeight="1">
      <c r="D549" s="3"/>
    </row>
    <row r="550" ht="14.25" customHeight="1">
      <c r="D550" s="3"/>
    </row>
    <row r="551" ht="14.25" customHeight="1">
      <c r="D551" s="3"/>
    </row>
    <row r="552" ht="14.25" customHeight="1">
      <c r="D552" s="3"/>
    </row>
    <row r="553" ht="14.25" customHeight="1">
      <c r="D553" s="3"/>
    </row>
    <row r="554" ht="14.25" customHeight="1">
      <c r="D554" s="3"/>
    </row>
    <row r="555" ht="14.25" customHeight="1">
      <c r="D555" s="3"/>
    </row>
    <row r="556" ht="14.25" customHeight="1">
      <c r="D556" s="3"/>
    </row>
    <row r="557" ht="14.25" customHeight="1">
      <c r="D557" s="3"/>
    </row>
    <row r="558" ht="14.25" customHeight="1">
      <c r="D558" s="3"/>
    </row>
    <row r="559" ht="14.25" customHeight="1">
      <c r="D559" s="3"/>
    </row>
    <row r="560" ht="14.25" customHeight="1">
      <c r="D560" s="3"/>
    </row>
    <row r="561" ht="14.25" customHeight="1">
      <c r="D561" s="3"/>
    </row>
    <row r="562" ht="14.25" customHeight="1">
      <c r="D562" s="3"/>
    </row>
    <row r="563" ht="14.25" customHeight="1">
      <c r="D563" s="3"/>
    </row>
    <row r="564" ht="14.25" customHeight="1">
      <c r="D564" s="3"/>
    </row>
    <row r="565" ht="14.25" customHeight="1">
      <c r="D565" s="3"/>
    </row>
    <row r="566" ht="14.25" customHeight="1">
      <c r="D566" s="3"/>
    </row>
    <row r="567" ht="14.25" customHeight="1">
      <c r="D567" s="3"/>
    </row>
    <row r="568" ht="14.25" customHeight="1">
      <c r="D568" s="3"/>
    </row>
    <row r="569" ht="14.25" customHeight="1">
      <c r="D569" s="3"/>
    </row>
    <row r="570" ht="14.25" customHeight="1">
      <c r="D570" s="3"/>
    </row>
    <row r="571" ht="14.25" customHeight="1">
      <c r="D571" s="3"/>
    </row>
    <row r="572" ht="14.25" customHeight="1">
      <c r="D572" s="3"/>
    </row>
    <row r="573" ht="14.25" customHeight="1">
      <c r="D573" s="3"/>
    </row>
    <row r="574" ht="14.25" customHeight="1">
      <c r="D574" s="3"/>
    </row>
    <row r="575" ht="14.25" customHeight="1">
      <c r="D575" s="3"/>
    </row>
    <row r="576" ht="14.25" customHeight="1">
      <c r="D576" s="3"/>
    </row>
    <row r="577" ht="14.25" customHeight="1">
      <c r="D577" s="3"/>
    </row>
    <row r="578" ht="14.25" customHeight="1">
      <c r="D578" s="3"/>
    </row>
    <row r="579" ht="14.25" customHeight="1">
      <c r="D579" s="3"/>
    </row>
    <row r="580" ht="14.25" customHeight="1">
      <c r="D580" s="3"/>
    </row>
    <row r="581" ht="14.25" customHeight="1">
      <c r="D581" s="3"/>
    </row>
    <row r="582" ht="14.25" customHeight="1">
      <c r="D582" s="3"/>
    </row>
    <row r="583" ht="14.25" customHeight="1">
      <c r="D583" s="3"/>
    </row>
    <row r="584" ht="14.25" customHeight="1">
      <c r="D584" s="3"/>
    </row>
    <row r="585" ht="14.25" customHeight="1">
      <c r="D585" s="3"/>
    </row>
    <row r="586" ht="14.25" customHeight="1">
      <c r="D586" s="3"/>
    </row>
    <row r="587" ht="14.25" customHeight="1">
      <c r="D587" s="3"/>
    </row>
    <row r="588" ht="14.25" customHeight="1">
      <c r="D588" s="3"/>
    </row>
    <row r="589" ht="14.25" customHeight="1">
      <c r="D589" s="3"/>
    </row>
    <row r="590" ht="14.25" customHeight="1">
      <c r="D590" s="3"/>
    </row>
    <row r="591" ht="14.25" customHeight="1">
      <c r="D591" s="3"/>
    </row>
    <row r="592" ht="14.25" customHeight="1">
      <c r="D592" s="3"/>
    </row>
    <row r="593" ht="14.25" customHeight="1">
      <c r="D593" s="3"/>
    </row>
    <row r="594" ht="14.25" customHeight="1">
      <c r="D594" s="3"/>
    </row>
    <row r="595" ht="14.25" customHeight="1">
      <c r="D595" s="3"/>
    </row>
    <row r="596" ht="14.25" customHeight="1">
      <c r="D596" s="3"/>
    </row>
    <row r="597" ht="14.25" customHeight="1">
      <c r="D597" s="3"/>
    </row>
    <row r="598" ht="14.25" customHeight="1">
      <c r="D598" s="3"/>
    </row>
    <row r="599" ht="14.25" customHeight="1">
      <c r="D599" s="3"/>
    </row>
    <row r="600" ht="14.25" customHeight="1">
      <c r="D600" s="3"/>
    </row>
    <row r="601" ht="14.25" customHeight="1">
      <c r="D601" s="3"/>
    </row>
    <row r="602" ht="14.25" customHeight="1">
      <c r="D602" s="3"/>
    </row>
    <row r="603" ht="14.25" customHeight="1">
      <c r="D603" s="3"/>
    </row>
    <row r="604" ht="14.25" customHeight="1">
      <c r="D604" s="3"/>
    </row>
    <row r="605" ht="14.25" customHeight="1">
      <c r="D605" s="3"/>
    </row>
    <row r="606" ht="14.25" customHeight="1">
      <c r="D606" s="3"/>
    </row>
    <row r="607" ht="14.25" customHeight="1">
      <c r="D607" s="3"/>
    </row>
    <row r="608" ht="14.25" customHeight="1">
      <c r="D608" s="3"/>
    </row>
    <row r="609" ht="14.25" customHeight="1">
      <c r="D609" s="3"/>
    </row>
    <row r="610" ht="14.25" customHeight="1">
      <c r="D610" s="3"/>
    </row>
    <row r="611" ht="14.25" customHeight="1">
      <c r="D611" s="3"/>
    </row>
    <row r="612" ht="14.25" customHeight="1">
      <c r="D612" s="3"/>
    </row>
    <row r="613" ht="14.25" customHeight="1">
      <c r="D613" s="3"/>
    </row>
    <row r="614" ht="14.25" customHeight="1">
      <c r="D614" s="3"/>
    </row>
    <row r="615" ht="14.25" customHeight="1">
      <c r="D615" s="3"/>
    </row>
    <row r="616" ht="14.25" customHeight="1">
      <c r="D616" s="3"/>
    </row>
    <row r="617" ht="14.25" customHeight="1">
      <c r="D617" s="3"/>
    </row>
    <row r="618" ht="14.25" customHeight="1">
      <c r="D618" s="3"/>
    </row>
    <row r="619" ht="14.25" customHeight="1">
      <c r="D619" s="3"/>
    </row>
    <row r="620" ht="14.25" customHeight="1">
      <c r="D620" s="3"/>
    </row>
    <row r="621" ht="14.25" customHeight="1">
      <c r="D621" s="3"/>
    </row>
    <row r="622" ht="14.25" customHeight="1">
      <c r="D622" s="3"/>
    </row>
    <row r="623" ht="14.25" customHeight="1">
      <c r="D623" s="3"/>
    </row>
    <row r="624" ht="14.25" customHeight="1">
      <c r="D624" s="3"/>
    </row>
    <row r="625" ht="14.25" customHeight="1">
      <c r="D625" s="3"/>
    </row>
    <row r="626" ht="14.25" customHeight="1">
      <c r="D626" s="3"/>
    </row>
    <row r="627" ht="14.25" customHeight="1">
      <c r="D627" s="3"/>
    </row>
    <row r="628" ht="14.25" customHeight="1">
      <c r="D628" s="3"/>
    </row>
    <row r="629" ht="14.25" customHeight="1">
      <c r="D629" s="3"/>
    </row>
    <row r="630" ht="14.25" customHeight="1">
      <c r="D630" s="3"/>
    </row>
    <row r="631" ht="14.25" customHeight="1">
      <c r="D631" s="3"/>
    </row>
    <row r="632" ht="14.25" customHeight="1">
      <c r="D632" s="3"/>
    </row>
    <row r="633" ht="14.25" customHeight="1">
      <c r="D633" s="3"/>
    </row>
    <row r="634" ht="14.25" customHeight="1">
      <c r="D634" s="3"/>
    </row>
    <row r="635" ht="14.25" customHeight="1">
      <c r="D635" s="3"/>
    </row>
    <row r="636" ht="14.25" customHeight="1">
      <c r="D636" s="3"/>
    </row>
    <row r="637" ht="14.25" customHeight="1">
      <c r="D637" s="3"/>
    </row>
    <row r="638" ht="14.25" customHeight="1">
      <c r="D638" s="3"/>
    </row>
    <row r="639" ht="14.25" customHeight="1">
      <c r="D639" s="3"/>
    </row>
    <row r="640" ht="14.25" customHeight="1">
      <c r="D640" s="3"/>
    </row>
    <row r="641" ht="14.25" customHeight="1">
      <c r="D641" s="3"/>
    </row>
    <row r="642" ht="14.25" customHeight="1">
      <c r="D642" s="3"/>
    </row>
    <row r="643" ht="14.25" customHeight="1">
      <c r="D643" s="3"/>
    </row>
    <row r="644" ht="14.25" customHeight="1">
      <c r="D644" s="3"/>
    </row>
    <row r="645" ht="14.25" customHeight="1">
      <c r="D645" s="3"/>
    </row>
    <row r="646" ht="14.25" customHeight="1">
      <c r="D646" s="3"/>
    </row>
    <row r="647" ht="14.25" customHeight="1">
      <c r="D647" s="3"/>
    </row>
    <row r="648" ht="14.25" customHeight="1">
      <c r="D648" s="3"/>
    </row>
    <row r="649" ht="14.25" customHeight="1">
      <c r="D649" s="3"/>
    </row>
    <row r="650" ht="14.25" customHeight="1">
      <c r="D650" s="3"/>
    </row>
    <row r="651" ht="14.25" customHeight="1">
      <c r="D651" s="3"/>
    </row>
    <row r="652" ht="14.25" customHeight="1">
      <c r="D652" s="3"/>
    </row>
    <row r="653" ht="14.25" customHeight="1">
      <c r="D653" s="3"/>
    </row>
    <row r="654" ht="14.25" customHeight="1">
      <c r="D654" s="3"/>
    </row>
    <row r="655" ht="14.25" customHeight="1">
      <c r="D655" s="3"/>
    </row>
    <row r="656" ht="14.25" customHeight="1">
      <c r="D656" s="3"/>
    </row>
    <row r="657" ht="14.25" customHeight="1">
      <c r="D657" s="3"/>
    </row>
    <row r="658" ht="14.25" customHeight="1">
      <c r="D658" s="3"/>
    </row>
    <row r="659" ht="14.25" customHeight="1">
      <c r="D659" s="3"/>
    </row>
    <row r="660" ht="14.25" customHeight="1">
      <c r="D660" s="3"/>
    </row>
    <row r="661" ht="14.25" customHeight="1">
      <c r="D661" s="3"/>
    </row>
    <row r="662" ht="14.25" customHeight="1">
      <c r="D662" s="3"/>
    </row>
    <row r="663" ht="14.25" customHeight="1">
      <c r="D663" s="3"/>
    </row>
    <row r="664" ht="14.25" customHeight="1">
      <c r="D664" s="3"/>
    </row>
    <row r="665" ht="14.25" customHeight="1">
      <c r="D665" s="3"/>
    </row>
    <row r="666" ht="14.25" customHeight="1">
      <c r="D666" s="3"/>
    </row>
    <row r="667" ht="14.25" customHeight="1">
      <c r="D667" s="3"/>
    </row>
    <row r="668" ht="14.25" customHeight="1">
      <c r="D668" s="3"/>
    </row>
    <row r="669" ht="14.25" customHeight="1">
      <c r="D669" s="3"/>
    </row>
    <row r="670" ht="14.25" customHeight="1">
      <c r="D670" s="3"/>
    </row>
    <row r="671" ht="14.25" customHeight="1">
      <c r="D671" s="3"/>
    </row>
    <row r="672" ht="14.25" customHeight="1">
      <c r="D672" s="3"/>
    </row>
    <row r="673" ht="14.25" customHeight="1">
      <c r="D673" s="3"/>
    </row>
    <row r="674" ht="14.25" customHeight="1">
      <c r="D674" s="3"/>
    </row>
    <row r="675" ht="14.25" customHeight="1">
      <c r="D675" s="3"/>
    </row>
    <row r="676" ht="14.25" customHeight="1">
      <c r="D676" s="3"/>
    </row>
    <row r="677" ht="14.25" customHeight="1">
      <c r="D677" s="3"/>
    </row>
    <row r="678" ht="14.25" customHeight="1">
      <c r="D678" s="3"/>
    </row>
    <row r="679" ht="14.25" customHeight="1">
      <c r="D679" s="3"/>
    </row>
    <row r="680" ht="14.25" customHeight="1">
      <c r="D680" s="3"/>
    </row>
    <row r="681" ht="14.25" customHeight="1">
      <c r="D681" s="3"/>
    </row>
    <row r="682" ht="14.25" customHeight="1">
      <c r="D682" s="3"/>
    </row>
    <row r="683" ht="14.25" customHeight="1">
      <c r="D683" s="3"/>
    </row>
    <row r="684" ht="14.25" customHeight="1">
      <c r="D684" s="3"/>
    </row>
    <row r="685" ht="14.25" customHeight="1">
      <c r="D685" s="3"/>
    </row>
    <row r="686" ht="14.25" customHeight="1">
      <c r="D686" s="3"/>
    </row>
    <row r="687" ht="14.25" customHeight="1">
      <c r="D687" s="3"/>
    </row>
    <row r="688" ht="14.25" customHeight="1">
      <c r="D688" s="3"/>
    </row>
    <row r="689" ht="14.25" customHeight="1">
      <c r="D689" s="3"/>
    </row>
    <row r="690" ht="14.25" customHeight="1">
      <c r="D690" s="3"/>
    </row>
    <row r="691" ht="14.25" customHeight="1">
      <c r="D691" s="3"/>
    </row>
    <row r="692" ht="14.25" customHeight="1">
      <c r="D692" s="3"/>
    </row>
    <row r="693" ht="14.25" customHeight="1">
      <c r="D693" s="3"/>
    </row>
    <row r="694" ht="14.25" customHeight="1">
      <c r="D694" s="3"/>
    </row>
    <row r="695" ht="14.25" customHeight="1">
      <c r="D695" s="3"/>
    </row>
    <row r="696" ht="14.25" customHeight="1">
      <c r="D696" s="3"/>
    </row>
    <row r="697" ht="14.25" customHeight="1">
      <c r="D697" s="3"/>
    </row>
    <row r="698" ht="14.25" customHeight="1">
      <c r="D698" s="3"/>
    </row>
    <row r="699" ht="14.25" customHeight="1">
      <c r="D699" s="3"/>
    </row>
    <row r="700" ht="14.25" customHeight="1">
      <c r="D700" s="3"/>
    </row>
    <row r="701" ht="14.25" customHeight="1">
      <c r="D701" s="3"/>
    </row>
    <row r="702" ht="14.25" customHeight="1">
      <c r="D702" s="3"/>
    </row>
    <row r="703" ht="14.25" customHeight="1">
      <c r="D703" s="3"/>
    </row>
    <row r="704" ht="14.25" customHeight="1">
      <c r="D704" s="3"/>
    </row>
    <row r="705" ht="14.25" customHeight="1">
      <c r="D705" s="3"/>
    </row>
    <row r="706" ht="14.25" customHeight="1">
      <c r="D706" s="3"/>
    </row>
    <row r="707" ht="14.25" customHeight="1">
      <c r="D707" s="3"/>
    </row>
    <row r="708" ht="14.25" customHeight="1">
      <c r="D708" s="3"/>
    </row>
    <row r="709" ht="14.25" customHeight="1">
      <c r="D709" s="3"/>
    </row>
    <row r="710" ht="14.25" customHeight="1">
      <c r="D710" s="3"/>
    </row>
    <row r="711" ht="14.25" customHeight="1">
      <c r="D711" s="3"/>
    </row>
    <row r="712" ht="14.25" customHeight="1">
      <c r="D712" s="3"/>
    </row>
    <row r="713" ht="14.25" customHeight="1">
      <c r="D713" s="3"/>
    </row>
    <row r="714" ht="14.25" customHeight="1">
      <c r="D714" s="3"/>
    </row>
    <row r="715" ht="14.25" customHeight="1">
      <c r="D715" s="3"/>
    </row>
    <row r="716" ht="14.25" customHeight="1">
      <c r="D716" s="3"/>
    </row>
    <row r="717" ht="14.25" customHeight="1">
      <c r="D717" s="3"/>
    </row>
    <row r="718" ht="14.25" customHeight="1">
      <c r="D718" s="3"/>
    </row>
    <row r="719" ht="14.25" customHeight="1">
      <c r="D719" s="3"/>
    </row>
    <row r="720" ht="14.25" customHeight="1">
      <c r="D720" s="3"/>
    </row>
    <row r="721" ht="14.25" customHeight="1">
      <c r="D721" s="3"/>
    </row>
    <row r="722" ht="14.25" customHeight="1">
      <c r="D722" s="3"/>
    </row>
    <row r="723" ht="14.25" customHeight="1">
      <c r="D723" s="3"/>
    </row>
    <row r="724" ht="14.25" customHeight="1">
      <c r="D724" s="3"/>
    </row>
    <row r="725" ht="14.25" customHeight="1">
      <c r="D725" s="3"/>
    </row>
    <row r="726" ht="14.25" customHeight="1">
      <c r="D726" s="3"/>
    </row>
    <row r="727" ht="14.25" customHeight="1">
      <c r="D727" s="3"/>
    </row>
    <row r="728" ht="14.25" customHeight="1">
      <c r="D728" s="3"/>
    </row>
    <row r="729" ht="14.25" customHeight="1">
      <c r="D729" s="3"/>
    </row>
    <row r="730" ht="14.25" customHeight="1">
      <c r="D730" s="3"/>
    </row>
    <row r="731" ht="14.25" customHeight="1">
      <c r="D731" s="3"/>
    </row>
    <row r="732" ht="14.25" customHeight="1">
      <c r="D732" s="3"/>
    </row>
    <row r="733" ht="14.25" customHeight="1">
      <c r="D733" s="3"/>
    </row>
    <row r="734" ht="14.25" customHeight="1">
      <c r="D734" s="3"/>
    </row>
    <row r="735" ht="14.25" customHeight="1">
      <c r="D735" s="3"/>
    </row>
    <row r="736" ht="14.25" customHeight="1">
      <c r="D736" s="3"/>
    </row>
    <row r="737" ht="14.25" customHeight="1">
      <c r="D737" s="3"/>
    </row>
    <row r="738" ht="14.25" customHeight="1">
      <c r="D738" s="3"/>
    </row>
    <row r="739" ht="14.25" customHeight="1">
      <c r="D739" s="3"/>
    </row>
    <row r="740" ht="14.25" customHeight="1">
      <c r="D740" s="3"/>
    </row>
    <row r="741" ht="14.25" customHeight="1">
      <c r="D741" s="3"/>
    </row>
    <row r="742" ht="14.25" customHeight="1">
      <c r="D742" s="3"/>
    </row>
    <row r="743" ht="14.25" customHeight="1">
      <c r="D743" s="3"/>
    </row>
    <row r="744" ht="14.25" customHeight="1">
      <c r="D744" s="3"/>
    </row>
    <row r="745" ht="14.25" customHeight="1">
      <c r="D745" s="3"/>
    </row>
    <row r="746" ht="14.25" customHeight="1">
      <c r="D746" s="3"/>
    </row>
    <row r="747" ht="14.25" customHeight="1">
      <c r="D747" s="3"/>
    </row>
    <row r="748" ht="14.25" customHeight="1">
      <c r="D748" s="3"/>
    </row>
    <row r="749" ht="14.25" customHeight="1">
      <c r="D749" s="3"/>
    </row>
    <row r="750" ht="14.25" customHeight="1">
      <c r="D750" s="3"/>
    </row>
    <row r="751" ht="14.25" customHeight="1">
      <c r="D751" s="3"/>
    </row>
    <row r="752" ht="14.25" customHeight="1">
      <c r="D752" s="3"/>
    </row>
    <row r="753" ht="14.25" customHeight="1">
      <c r="D753" s="3"/>
    </row>
    <row r="754" ht="14.25" customHeight="1">
      <c r="D754" s="3"/>
    </row>
    <row r="755" ht="14.25" customHeight="1">
      <c r="D755" s="3"/>
    </row>
    <row r="756" ht="14.25" customHeight="1">
      <c r="D756" s="3"/>
    </row>
    <row r="757" ht="14.25" customHeight="1">
      <c r="D757" s="3"/>
    </row>
    <row r="758" ht="14.25" customHeight="1">
      <c r="D758" s="3"/>
    </row>
    <row r="759" ht="14.25" customHeight="1">
      <c r="D759" s="3"/>
    </row>
    <row r="760" ht="14.25" customHeight="1">
      <c r="D760" s="3"/>
    </row>
    <row r="761" ht="14.25" customHeight="1">
      <c r="D761" s="3"/>
    </row>
    <row r="762" ht="14.25" customHeight="1">
      <c r="D762" s="3"/>
    </row>
    <row r="763" ht="14.25" customHeight="1">
      <c r="D763" s="3"/>
    </row>
    <row r="764" ht="14.25" customHeight="1">
      <c r="D764" s="3"/>
    </row>
    <row r="765" ht="14.25" customHeight="1">
      <c r="D765" s="3"/>
    </row>
    <row r="766" ht="14.25" customHeight="1">
      <c r="D766" s="3"/>
    </row>
    <row r="767" ht="14.25" customHeight="1">
      <c r="D767" s="3"/>
    </row>
    <row r="768" ht="14.25" customHeight="1">
      <c r="D768" s="3"/>
    </row>
    <row r="769" ht="14.25" customHeight="1">
      <c r="D769" s="3"/>
    </row>
    <row r="770" ht="14.25" customHeight="1">
      <c r="D770" s="3"/>
    </row>
    <row r="771" ht="14.25" customHeight="1">
      <c r="D771" s="3"/>
    </row>
    <row r="772" ht="14.25" customHeight="1">
      <c r="D772" s="3"/>
    </row>
    <row r="773" ht="14.25" customHeight="1">
      <c r="D773" s="3"/>
    </row>
    <row r="774" ht="14.25" customHeight="1">
      <c r="D774" s="3"/>
    </row>
    <row r="775" ht="14.25" customHeight="1">
      <c r="D775" s="3"/>
    </row>
    <row r="776" ht="14.25" customHeight="1">
      <c r="D776" s="3"/>
    </row>
    <row r="777" ht="14.25" customHeight="1">
      <c r="D777" s="3"/>
    </row>
    <row r="778" ht="14.25" customHeight="1">
      <c r="D778" s="3"/>
    </row>
    <row r="779" ht="14.25" customHeight="1">
      <c r="D779" s="3"/>
    </row>
    <row r="780" ht="14.25" customHeight="1">
      <c r="D780" s="3"/>
    </row>
    <row r="781" ht="14.25" customHeight="1">
      <c r="D781" s="3"/>
    </row>
    <row r="782" ht="14.25" customHeight="1">
      <c r="D782" s="3"/>
    </row>
    <row r="783" ht="14.25" customHeight="1">
      <c r="D783" s="3"/>
    </row>
    <row r="784" ht="14.25" customHeight="1">
      <c r="D784" s="3"/>
    </row>
    <row r="785" ht="14.25" customHeight="1">
      <c r="D785" s="3"/>
    </row>
    <row r="786" ht="14.25" customHeight="1">
      <c r="D786" s="3"/>
    </row>
    <row r="787" ht="14.25" customHeight="1">
      <c r="D787" s="3"/>
    </row>
    <row r="788" ht="14.25" customHeight="1">
      <c r="D788" s="3"/>
    </row>
    <row r="789" ht="14.25" customHeight="1">
      <c r="D789" s="3"/>
    </row>
    <row r="790" ht="14.25" customHeight="1">
      <c r="D790" s="3"/>
    </row>
    <row r="791" ht="14.25" customHeight="1">
      <c r="D791" s="3"/>
    </row>
    <row r="792" ht="14.25" customHeight="1">
      <c r="D792" s="3"/>
    </row>
    <row r="793" ht="14.25" customHeight="1">
      <c r="D793" s="3"/>
    </row>
    <row r="794" ht="14.25" customHeight="1">
      <c r="D794" s="3"/>
    </row>
    <row r="795" ht="14.25" customHeight="1">
      <c r="D795" s="3"/>
    </row>
    <row r="796" ht="14.25" customHeight="1">
      <c r="D796" s="3"/>
    </row>
    <row r="797" ht="14.25" customHeight="1">
      <c r="D797" s="3"/>
    </row>
    <row r="798" ht="14.25" customHeight="1">
      <c r="D798" s="3"/>
    </row>
    <row r="799" ht="14.25" customHeight="1">
      <c r="D799" s="3"/>
    </row>
    <row r="800" ht="14.25" customHeight="1">
      <c r="D800" s="3"/>
    </row>
    <row r="801" ht="14.25" customHeight="1">
      <c r="D801" s="3"/>
    </row>
    <row r="802" ht="14.25" customHeight="1">
      <c r="D802" s="3"/>
    </row>
    <row r="803" ht="14.25" customHeight="1">
      <c r="D803" s="3"/>
    </row>
    <row r="804" ht="14.25" customHeight="1">
      <c r="D804" s="3"/>
    </row>
    <row r="805" ht="14.25" customHeight="1">
      <c r="D805" s="3"/>
    </row>
    <row r="806" ht="14.25" customHeight="1">
      <c r="D806" s="3"/>
    </row>
    <row r="807" ht="14.25" customHeight="1">
      <c r="D807" s="3"/>
    </row>
    <row r="808" ht="14.25" customHeight="1">
      <c r="D808" s="3"/>
    </row>
    <row r="809" ht="14.25" customHeight="1">
      <c r="D809" s="3"/>
    </row>
    <row r="810" ht="14.25" customHeight="1">
      <c r="D810" s="3"/>
    </row>
    <row r="811" ht="14.25" customHeight="1">
      <c r="D811" s="3"/>
    </row>
    <row r="812" ht="14.25" customHeight="1">
      <c r="D812" s="3"/>
    </row>
    <row r="813" ht="14.25" customHeight="1">
      <c r="D813" s="3"/>
    </row>
    <row r="814" ht="14.25" customHeight="1">
      <c r="D814" s="3"/>
    </row>
    <row r="815" ht="14.25" customHeight="1">
      <c r="D815" s="3"/>
    </row>
    <row r="816" ht="14.25" customHeight="1">
      <c r="D816" s="3"/>
    </row>
    <row r="817" ht="14.25" customHeight="1">
      <c r="D817" s="3"/>
    </row>
    <row r="818" ht="14.25" customHeight="1">
      <c r="D818" s="3"/>
    </row>
    <row r="819" ht="14.25" customHeight="1">
      <c r="D819" s="3"/>
    </row>
    <row r="820" ht="14.25" customHeight="1">
      <c r="D820" s="3"/>
    </row>
    <row r="821" ht="14.25" customHeight="1">
      <c r="D821" s="3"/>
    </row>
    <row r="822" ht="14.25" customHeight="1">
      <c r="D822" s="3"/>
    </row>
    <row r="823" ht="14.25" customHeight="1">
      <c r="D823" s="3"/>
    </row>
    <row r="824" ht="14.25" customHeight="1">
      <c r="D824" s="3"/>
    </row>
    <row r="825" ht="14.25" customHeight="1">
      <c r="D825" s="3"/>
    </row>
    <row r="826" ht="14.25" customHeight="1">
      <c r="D826" s="3"/>
    </row>
    <row r="827" ht="14.25" customHeight="1">
      <c r="D827" s="3"/>
    </row>
    <row r="828" ht="14.25" customHeight="1">
      <c r="D828" s="3"/>
    </row>
    <row r="829" ht="14.25" customHeight="1">
      <c r="D829" s="3"/>
    </row>
    <row r="830" ht="14.25" customHeight="1">
      <c r="D830" s="3"/>
    </row>
    <row r="831" ht="14.25" customHeight="1">
      <c r="D831" s="3"/>
    </row>
    <row r="832" ht="14.25" customHeight="1">
      <c r="D832" s="3"/>
    </row>
    <row r="833" ht="14.25" customHeight="1">
      <c r="D833" s="3"/>
    </row>
    <row r="834" ht="14.25" customHeight="1">
      <c r="D834" s="3"/>
    </row>
    <row r="835" ht="14.25" customHeight="1">
      <c r="D835" s="3"/>
    </row>
    <row r="836" ht="14.25" customHeight="1">
      <c r="D836" s="3"/>
    </row>
    <row r="837" ht="14.25" customHeight="1">
      <c r="D837" s="3"/>
    </row>
    <row r="838" ht="14.25" customHeight="1">
      <c r="D838" s="3"/>
    </row>
    <row r="839" ht="14.25" customHeight="1">
      <c r="D839" s="3"/>
    </row>
    <row r="840" ht="14.25" customHeight="1">
      <c r="D840" s="3"/>
    </row>
    <row r="841" ht="14.25" customHeight="1">
      <c r="D841" s="3"/>
    </row>
    <row r="842" ht="14.25" customHeight="1">
      <c r="D842" s="3"/>
    </row>
    <row r="843" ht="14.25" customHeight="1">
      <c r="D843" s="3"/>
    </row>
    <row r="844" ht="14.25" customHeight="1">
      <c r="D844" s="3"/>
    </row>
    <row r="845" ht="14.25" customHeight="1">
      <c r="D845" s="3"/>
    </row>
    <row r="846" ht="14.25" customHeight="1">
      <c r="D846" s="3"/>
    </row>
    <row r="847" ht="14.25" customHeight="1">
      <c r="D847" s="3"/>
    </row>
    <row r="848" ht="14.25" customHeight="1">
      <c r="D848" s="3"/>
    </row>
    <row r="849" ht="14.25" customHeight="1">
      <c r="D849" s="3"/>
    </row>
    <row r="850" ht="14.25" customHeight="1">
      <c r="D850" s="3"/>
    </row>
    <row r="851" ht="14.25" customHeight="1">
      <c r="D851" s="3"/>
    </row>
    <row r="852" ht="14.25" customHeight="1">
      <c r="D852" s="3"/>
    </row>
    <row r="853" ht="14.25" customHeight="1">
      <c r="D853" s="3"/>
    </row>
    <row r="854" ht="14.25" customHeight="1">
      <c r="D854" s="3"/>
    </row>
    <row r="855" ht="14.25" customHeight="1">
      <c r="D855" s="3"/>
    </row>
    <row r="856" ht="14.25" customHeight="1">
      <c r="D856" s="3"/>
    </row>
    <row r="857" ht="14.25" customHeight="1">
      <c r="D857" s="3"/>
    </row>
    <row r="858" ht="14.25" customHeight="1">
      <c r="D858" s="3"/>
    </row>
    <row r="859" ht="14.25" customHeight="1">
      <c r="D859" s="3"/>
    </row>
    <row r="860" ht="14.25" customHeight="1">
      <c r="D860" s="3"/>
    </row>
    <row r="861" ht="14.25" customHeight="1">
      <c r="D861" s="3"/>
    </row>
    <row r="862" ht="14.25" customHeight="1">
      <c r="D862" s="3"/>
    </row>
    <row r="863" ht="14.25" customHeight="1">
      <c r="D863" s="3"/>
    </row>
    <row r="864" ht="14.25" customHeight="1">
      <c r="D864" s="3"/>
    </row>
    <row r="865" ht="14.25" customHeight="1">
      <c r="D865" s="3"/>
    </row>
    <row r="866" ht="14.25" customHeight="1">
      <c r="D866" s="3"/>
    </row>
    <row r="867" ht="14.25" customHeight="1">
      <c r="D867" s="3"/>
    </row>
    <row r="868" ht="14.25" customHeight="1">
      <c r="D868" s="3"/>
    </row>
    <row r="869" ht="14.25" customHeight="1">
      <c r="D869" s="3"/>
    </row>
    <row r="870" ht="14.25" customHeight="1">
      <c r="D870" s="3"/>
    </row>
    <row r="871" ht="14.25" customHeight="1">
      <c r="D871" s="3"/>
    </row>
    <row r="872" ht="14.25" customHeight="1">
      <c r="D872" s="3"/>
    </row>
    <row r="873" ht="14.25" customHeight="1">
      <c r="D873" s="3"/>
    </row>
    <row r="874" ht="14.25" customHeight="1">
      <c r="D874" s="3"/>
    </row>
    <row r="875" ht="14.25" customHeight="1">
      <c r="D875" s="3"/>
    </row>
    <row r="876" ht="14.25" customHeight="1">
      <c r="D876" s="3"/>
    </row>
    <row r="877" ht="14.25" customHeight="1">
      <c r="D877" s="3"/>
    </row>
    <row r="878" ht="14.25" customHeight="1">
      <c r="D878" s="3"/>
    </row>
    <row r="879" ht="14.25" customHeight="1">
      <c r="D879" s="3"/>
    </row>
    <row r="880" ht="14.25" customHeight="1">
      <c r="D880" s="3"/>
    </row>
    <row r="881" ht="14.25" customHeight="1">
      <c r="D881" s="3"/>
    </row>
    <row r="882" ht="14.25" customHeight="1">
      <c r="D882" s="3"/>
    </row>
    <row r="883" ht="14.25" customHeight="1">
      <c r="D883" s="3"/>
    </row>
    <row r="884" ht="14.25" customHeight="1">
      <c r="D884" s="3"/>
    </row>
    <row r="885" ht="14.25" customHeight="1">
      <c r="D885" s="3"/>
    </row>
    <row r="886" ht="14.25" customHeight="1">
      <c r="D886" s="3"/>
    </row>
    <row r="887" ht="14.25" customHeight="1">
      <c r="D887" s="3"/>
    </row>
    <row r="888" ht="14.25" customHeight="1">
      <c r="D888" s="3"/>
    </row>
    <row r="889" ht="14.25" customHeight="1">
      <c r="D889" s="3"/>
    </row>
    <row r="890" ht="14.25" customHeight="1">
      <c r="D890" s="3"/>
    </row>
    <row r="891" ht="14.25" customHeight="1">
      <c r="D891" s="3"/>
    </row>
    <row r="892" ht="14.25" customHeight="1">
      <c r="D892" s="3"/>
    </row>
    <row r="893" ht="14.25" customHeight="1">
      <c r="D893" s="3"/>
    </row>
    <row r="894" ht="14.25" customHeight="1">
      <c r="D894" s="3"/>
    </row>
    <row r="895" ht="14.25" customHeight="1">
      <c r="D895" s="3"/>
    </row>
    <row r="896" ht="14.25" customHeight="1">
      <c r="D896" s="3"/>
    </row>
    <row r="897" ht="14.25" customHeight="1">
      <c r="D897" s="3"/>
    </row>
    <row r="898" ht="14.25" customHeight="1">
      <c r="D898" s="3"/>
    </row>
    <row r="899" ht="14.25" customHeight="1">
      <c r="D899" s="3"/>
    </row>
    <row r="900" ht="14.25" customHeight="1">
      <c r="D900" s="3"/>
    </row>
    <row r="901" ht="14.25" customHeight="1">
      <c r="D901" s="3"/>
    </row>
    <row r="902" ht="14.25" customHeight="1">
      <c r="D902" s="3"/>
    </row>
    <row r="903" ht="14.25" customHeight="1">
      <c r="D903" s="3"/>
    </row>
    <row r="904" ht="14.25" customHeight="1">
      <c r="D904" s="3"/>
    </row>
    <row r="905" ht="14.25" customHeight="1">
      <c r="D905" s="3"/>
    </row>
    <row r="906" ht="14.25" customHeight="1">
      <c r="D906" s="3"/>
    </row>
    <row r="907" ht="14.25" customHeight="1">
      <c r="D907" s="3"/>
    </row>
    <row r="908" ht="14.25" customHeight="1">
      <c r="D908" s="3"/>
    </row>
    <row r="909" ht="14.25" customHeight="1">
      <c r="D909" s="3"/>
    </row>
    <row r="910" ht="14.25" customHeight="1">
      <c r="D910" s="3"/>
    </row>
    <row r="911" ht="14.25" customHeight="1">
      <c r="D911" s="3"/>
    </row>
    <row r="912" ht="14.25" customHeight="1">
      <c r="D912" s="3"/>
    </row>
    <row r="913" ht="14.25" customHeight="1">
      <c r="D913" s="3"/>
    </row>
    <row r="914" ht="14.25" customHeight="1">
      <c r="D914" s="3"/>
    </row>
    <row r="915" ht="14.25" customHeight="1">
      <c r="D915" s="3"/>
    </row>
    <row r="916" ht="14.25" customHeight="1">
      <c r="D916" s="3"/>
    </row>
    <row r="917" ht="14.25" customHeight="1">
      <c r="D917" s="3"/>
    </row>
    <row r="918" ht="14.25" customHeight="1">
      <c r="D918" s="3"/>
    </row>
    <row r="919" ht="14.25" customHeight="1">
      <c r="D919" s="3"/>
    </row>
    <row r="920" ht="14.25" customHeight="1">
      <c r="D920" s="3"/>
    </row>
    <row r="921" ht="14.25" customHeight="1">
      <c r="D921" s="3"/>
    </row>
    <row r="922" ht="14.25" customHeight="1">
      <c r="D922" s="3"/>
    </row>
    <row r="923" ht="14.25" customHeight="1">
      <c r="D923" s="3"/>
    </row>
    <row r="924" ht="14.25" customHeight="1">
      <c r="D924" s="3"/>
    </row>
    <row r="925" ht="14.25" customHeight="1">
      <c r="D925" s="3"/>
    </row>
    <row r="926" ht="14.25" customHeight="1">
      <c r="D926" s="3"/>
    </row>
    <row r="927" ht="14.25" customHeight="1">
      <c r="D927" s="3"/>
    </row>
    <row r="928" ht="14.25" customHeight="1">
      <c r="D928" s="3"/>
    </row>
    <row r="929" ht="14.25" customHeight="1">
      <c r="D929" s="3"/>
    </row>
    <row r="930" ht="14.25" customHeight="1">
      <c r="D930" s="3"/>
    </row>
    <row r="931" ht="14.25" customHeight="1">
      <c r="D931" s="3"/>
    </row>
    <row r="932" ht="14.25" customHeight="1">
      <c r="D932" s="3"/>
    </row>
    <row r="933" ht="14.25" customHeight="1">
      <c r="D933" s="3"/>
    </row>
    <row r="934" ht="14.25" customHeight="1">
      <c r="D934" s="3"/>
    </row>
    <row r="935" ht="14.25" customHeight="1">
      <c r="D935" s="3"/>
    </row>
    <row r="936" ht="14.25" customHeight="1">
      <c r="D936" s="3"/>
    </row>
    <row r="937" ht="14.25" customHeight="1">
      <c r="D937" s="3"/>
    </row>
    <row r="938" ht="14.25" customHeight="1">
      <c r="D938" s="3"/>
    </row>
    <row r="939" ht="14.25" customHeight="1">
      <c r="D939" s="3"/>
    </row>
    <row r="940" ht="14.25" customHeight="1">
      <c r="D940" s="3"/>
    </row>
    <row r="941" ht="14.25" customHeight="1">
      <c r="D941" s="3"/>
    </row>
    <row r="942" ht="14.25" customHeight="1">
      <c r="D942" s="3"/>
    </row>
    <row r="943" ht="14.25" customHeight="1">
      <c r="D943" s="3"/>
    </row>
    <row r="944" ht="14.25" customHeight="1">
      <c r="D944" s="3"/>
    </row>
    <row r="945" ht="14.25" customHeight="1">
      <c r="D945" s="3"/>
    </row>
    <row r="946" ht="14.25" customHeight="1">
      <c r="D946" s="3"/>
    </row>
    <row r="947" ht="14.25" customHeight="1">
      <c r="D947" s="3"/>
    </row>
    <row r="948" ht="14.25" customHeight="1">
      <c r="D948" s="3"/>
    </row>
    <row r="949" ht="14.25" customHeight="1">
      <c r="D949" s="3"/>
    </row>
    <row r="950" ht="14.25" customHeight="1">
      <c r="D950" s="3"/>
    </row>
    <row r="951" ht="14.25" customHeight="1">
      <c r="D951" s="3"/>
    </row>
    <row r="952" ht="14.25" customHeight="1">
      <c r="D952" s="3"/>
    </row>
    <row r="953" ht="14.25" customHeight="1">
      <c r="D953" s="3"/>
    </row>
    <row r="954" ht="14.25" customHeight="1">
      <c r="D954" s="3"/>
    </row>
    <row r="955" ht="14.25" customHeight="1">
      <c r="D955" s="3"/>
    </row>
    <row r="956" ht="14.25" customHeight="1">
      <c r="D956" s="3"/>
    </row>
    <row r="957" ht="14.25" customHeight="1">
      <c r="D957" s="3"/>
    </row>
    <row r="958" ht="14.25" customHeight="1">
      <c r="D958" s="3"/>
    </row>
    <row r="959" ht="14.25" customHeight="1">
      <c r="D959" s="3"/>
    </row>
    <row r="960" ht="14.25" customHeight="1">
      <c r="D960" s="3"/>
    </row>
    <row r="961" ht="14.25" customHeight="1">
      <c r="D961" s="3"/>
    </row>
    <row r="962" ht="14.25" customHeight="1">
      <c r="D962" s="3"/>
    </row>
    <row r="963" ht="14.25" customHeight="1">
      <c r="D963" s="3"/>
    </row>
    <row r="964" ht="14.25" customHeight="1">
      <c r="D964" s="3"/>
    </row>
    <row r="965" ht="14.25" customHeight="1">
      <c r="D965" s="3"/>
    </row>
    <row r="966" ht="14.25" customHeight="1">
      <c r="D966" s="3"/>
    </row>
    <row r="967" ht="14.25" customHeight="1">
      <c r="D967" s="3"/>
    </row>
    <row r="968" ht="14.25" customHeight="1">
      <c r="D968" s="3"/>
    </row>
    <row r="969" ht="14.25" customHeight="1">
      <c r="D969" s="3"/>
    </row>
    <row r="970" ht="14.25" customHeight="1">
      <c r="D970" s="3"/>
    </row>
    <row r="971" ht="14.25" customHeight="1">
      <c r="D971" s="3"/>
    </row>
    <row r="972" ht="14.25" customHeight="1">
      <c r="D972" s="3"/>
    </row>
    <row r="973" ht="14.25" customHeight="1">
      <c r="D973" s="3"/>
    </row>
    <row r="974" ht="14.25" customHeight="1">
      <c r="D974" s="3"/>
    </row>
    <row r="975" ht="14.25" customHeight="1">
      <c r="D975" s="3"/>
    </row>
    <row r="976" ht="14.25" customHeight="1">
      <c r="D976" s="3"/>
    </row>
    <row r="977" ht="14.25" customHeight="1">
      <c r="D977" s="3"/>
    </row>
    <row r="978" ht="14.25" customHeight="1">
      <c r="D978" s="3"/>
    </row>
    <row r="979" ht="14.25" customHeight="1">
      <c r="D979" s="3"/>
    </row>
    <row r="980" ht="14.25" customHeight="1">
      <c r="D980" s="3"/>
    </row>
    <row r="981" ht="14.25" customHeight="1">
      <c r="D981" s="3"/>
    </row>
    <row r="982" ht="14.25" customHeight="1">
      <c r="D982" s="3"/>
    </row>
    <row r="983" ht="14.25" customHeight="1">
      <c r="D983" s="3"/>
    </row>
    <row r="984" ht="14.25" customHeight="1">
      <c r="D984" s="3"/>
    </row>
    <row r="985" ht="14.25" customHeight="1">
      <c r="D985" s="3"/>
    </row>
    <row r="986" ht="14.25" customHeight="1">
      <c r="D986" s="3"/>
    </row>
    <row r="987" ht="14.25" customHeight="1">
      <c r="D987" s="3"/>
    </row>
    <row r="988" ht="14.25" customHeight="1">
      <c r="D988" s="3"/>
    </row>
    <row r="989" ht="14.25" customHeight="1">
      <c r="D989" s="3"/>
    </row>
    <row r="990" ht="14.25" customHeight="1">
      <c r="D990" s="3"/>
    </row>
    <row r="991" ht="14.25" customHeight="1">
      <c r="D991" s="3"/>
    </row>
    <row r="992" ht="14.25" customHeight="1">
      <c r="D992" s="3"/>
    </row>
    <row r="993" ht="14.25" customHeight="1">
      <c r="D993" s="3"/>
    </row>
    <row r="994" ht="14.25" customHeight="1">
      <c r="D994" s="3"/>
    </row>
    <row r="995" ht="14.25" customHeight="1">
      <c r="D995" s="3"/>
    </row>
    <row r="996" ht="14.25" customHeight="1">
      <c r="D996" s="3"/>
    </row>
    <row r="997" ht="14.25" customHeight="1">
      <c r="D997" s="3"/>
    </row>
    <row r="998" ht="14.25" customHeight="1">
      <c r="D998" s="3"/>
    </row>
    <row r="999" ht="14.25" customHeight="1">
      <c r="D999" s="3"/>
    </row>
    <row r="1000" ht="14.25" customHeight="1">
      <c r="D1000" s="3"/>
    </row>
  </sheetData>
  <autoFilter ref="$A$1:$N$216"/>
  <hyperlinks>
    <hyperlink r:id="rId1" ref="H2"/>
    <hyperlink r:id="rId2" ref="N2"/>
    <hyperlink r:id="rId3" ref="H3"/>
    <hyperlink r:id="rId4" ref="N3"/>
    <hyperlink r:id="rId5" ref="N4"/>
    <hyperlink r:id="rId6" ref="H5"/>
    <hyperlink r:id="rId7" ref="L5"/>
    <hyperlink r:id="rId8" ref="H6"/>
    <hyperlink r:id="rId9" ref="L6"/>
    <hyperlink r:id="rId10" ref="N6"/>
    <hyperlink r:id="rId11" ref="L7"/>
    <hyperlink r:id="rId12" ref="H8"/>
    <hyperlink r:id="rId13" ref="L8"/>
    <hyperlink r:id="rId14" ref="H9"/>
    <hyperlink r:id="rId15" ref="N9"/>
    <hyperlink r:id="rId16" ref="H10"/>
    <hyperlink r:id="rId17" ref="M11"/>
    <hyperlink r:id="rId18" ref="H12"/>
    <hyperlink r:id="rId19" ref="L12"/>
    <hyperlink r:id="rId20" ref="H15"/>
    <hyperlink r:id="rId21" ref="H16"/>
    <hyperlink r:id="rId22" ref="H18"/>
    <hyperlink r:id="rId23" ref="L18"/>
    <hyperlink r:id="rId24" ref="N18"/>
    <hyperlink r:id="rId25" ref="H19"/>
    <hyperlink r:id="rId26" ref="H20"/>
    <hyperlink r:id="rId27" ref="H22"/>
    <hyperlink r:id="rId28" ref="L22"/>
    <hyperlink r:id="rId29" ref="H23"/>
    <hyperlink r:id="rId30" ref="L23"/>
    <hyperlink r:id="rId31" ref="M23"/>
    <hyperlink r:id="rId32" ref="H24"/>
    <hyperlink r:id="rId33" ref="L24"/>
    <hyperlink r:id="rId34" ref="H25"/>
    <hyperlink r:id="rId35" ref="H26"/>
    <hyperlink r:id="rId36" ref="L26"/>
    <hyperlink r:id="rId37" ref="H27"/>
    <hyperlink r:id="rId38" location="gid=1121030019" ref="L27"/>
    <hyperlink r:id="rId39" ref="H28"/>
    <hyperlink r:id="rId40" ref="L28"/>
    <hyperlink r:id="rId41" ref="H30"/>
    <hyperlink r:id="rId42" ref="N32"/>
    <hyperlink r:id="rId43" ref="H33"/>
    <hyperlink r:id="rId44" ref="H34"/>
    <hyperlink r:id="rId45" ref="L34"/>
    <hyperlink r:id="rId46" ref="N36"/>
    <hyperlink r:id="rId47" ref="H38"/>
    <hyperlink r:id="rId48" ref="M38"/>
    <hyperlink r:id="rId49" ref="N38"/>
    <hyperlink r:id="rId50" ref="H39"/>
    <hyperlink r:id="rId51" ref="L39"/>
    <hyperlink r:id="rId52" ref="M39"/>
    <hyperlink r:id="rId53" ref="H40"/>
    <hyperlink r:id="rId54" ref="L40"/>
    <hyperlink r:id="rId55" ref="N40"/>
    <hyperlink r:id="rId56" ref="H41"/>
    <hyperlink r:id="rId57" ref="L41"/>
    <hyperlink r:id="rId58" ref="M41"/>
    <hyperlink r:id="rId59" ref="H42"/>
    <hyperlink r:id="rId60" ref="H43"/>
    <hyperlink r:id="rId61" ref="L43"/>
    <hyperlink r:id="rId62" ref="H44"/>
    <hyperlink r:id="rId63" ref="L44"/>
    <hyperlink r:id="rId64" ref="M44"/>
    <hyperlink r:id="rId65" ref="H45"/>
    <hyperlink r:id="rId66" ref="L45"/>
    <hyperlink r:id="rId67" ref="M45"/>
    <hyperlink r:id="rId68" ref="N48"/>
    <hyperlink r:id="rId69" ref="H49"/>
    <hyperlink r:id="rId70" ref="M49"/>
    <hyperlink r:id="rId71" ref="H50"/>
    <hyperlink r:id="rId72" ref="L50"/>
    <hyperlink r:id="rId73" ref="H51"/>
    <hyperlink r:id="rId74" ref="H52"/>
    <hyperlink r:id="rId75" ref="M52"/>
    <hyperlink r:id="rId76" ref="H53"/>
    <hyperlink r:id="rId77" ref="L53"/>
    <hyperlink r:id="rId78" ref="M53"/>
    <hyperlink r:id="rId79" ref="H54"/>
    <hyperlink r:id="rId80" ref="L54"/>
    <hyperlink r:id="rId81" ref="M54"/>
    <hyperlink r:id="rId82" ref="M56"/>
    <hyperlink r:id="rId83" ref="H57"/>
    <hyperlink r:id="rId84" ref="M57"/>
    <hyperlink r:id="rId85" ref="H59"/>
    <hyperlink r:id="rId86" ref="L59"/>
    <hyperlink r:id="rId87" ref="M59"/>
    <hyperlink r:id="rId88" ref="H60"/>
    <hyperlink r:id="rId89" ref="L60"/>
    <hyperlink r:id="rId90" ref="H62"/>
    <hyperlink r:id="rId91" ref="H63"/>
    <hyperlink r:id="rId92" ref="L63"/>
    <hyperlink r:id="rId93" ref="N63"/>
    <hyperlink r:id="rId94" ref="H67"/>
    <hyperlink r:id="rId95" ref="H69"/>
    <hyperlink r:id="rId96" ref="M69"/>
    <hyperlink r:id="rId97" ref="H70"/>
    <hyperlink r:id="rId98" ref="L70"/>
    <hyperlink r:id="rId99" ref="M70"/>
    <hyperlink r:id="rId100" ref="H71"/>
    <hyperlink r:id="rId101" ref="L71"/>
    <hyperlink r:id="rId102" ref="M71"/>
    <hyperlink r:id="rId103" ref="H72"/>
    <hyperlink r:id="rId104" ref="M72"/>
    <hyperlink r:id="rId105" ref="H73"/>
    <hyperlink r:id="rId106" ref="L73"/>
    <hyperlink r:id="rId107" ref="M73"/>
    <hyperlink r:id="rId108" ref="H76"/>
    <hyperlink r:id="rId109" ref="L76"/>
    <hyperlink r:id="rId110" ref="H78"/>
    <hyperlink r:id="rId111" ref="L78"/>
    <hyperlink r:id="rId112" ref="M78"/>
    <hyperlink r:id="rId113" ref="M80"/>
    <hyperlink r:id="rId114" ref="H82"/>
    <hyperlink r:id="rId115" ref="L82"/>
    <hyperlink r:id="rId116" ref="H83"/>
    <hyperlink r:id="rId117" ref="L83"/>
    <hyperlink r:id="rId118" ref="H84"/>
    <hyperlink r:id="rId119" ref="H85"/>
    <hyperlink r:id="rId120" ref="M85"/>
    <hyperlink r:id="rId121" ref="H86"/>
    <hyperlink r:id="rId122" ref="H87"/>
    <hyperlink r:id="rId123" ref="H90"/>
    <hyperlink r:id="rId124" ref="H92"/>
    <hyperlink r:id="rId125" ref="M92"/>
    <hyperlink r:id="rId126" ref="H94"/>
    <hyperlink r:id="rId127" ref="M94"/>
    <hyperlink r:id="rId128" ref="H96"/>
    <hyperlink r:id="rId129" ref="M96"/>
    <hyperlink r:id="rId130" ref="H98"/>
    <hyperlink r:id="rId131" ref="H99"/>
    <hyperlink r:id="rId132" ref="N99"/>
    <hyperlink r:id="rId133" ref="H100"/>
    <hyperlink r:id="rId134" ref="N100"/>
    <hyperlink r:id="rId135" ref="N101"/>
    <hyperlink r:id="rId136" ref="H102"/>
    <hyperlink r:id="rId137" ref="H103"/>
    <hyperlink r:id="rId138" ref="H104"/>
    <hyperlink r:id="rId139" ref="H106"/>
    <hyperlink r:id="rId140" ref="H109"/>
    <hyperlink r:id="rId141" ref="H110"/>
    <hyperlink r:id="rId142" ref="H112"/>
    <hyperlink r:id="rId143" ref="H113"/>
    <hyperlink r:id="rId144" ref="H114"/>
    <hyperlink r:id="rId145" ref="M114"/>
    <hyperlink r:id="rId146" ref="M116"/>
    <hyperlink r:id="rId147" ref="H121"/>
    <hyperlink r:id="rId148" ref="L121"/>
    <hyperlink r:id="rId149" ref="M121"/>
    <hyperlink r:id="rId150" ref="H122"/>
    <hyperlink r:id="rId151" ref="M122"/>
    <hyperlink r:id="rId152" ref="H123"/>
    <hyperlink r:id="rId153" ref="H125"/>
    <hyperlink r:id="rId154" ref="H126"/>
    <hyperlink r:id="rId155" ref="H127"/>
    <hyperlink r:id="rId156" ref="M127"/>
    <hyperlink r:id="rId157" ref="M128"/>
    <hyperlink r:id="rId158" ref="H129"/>
    <hyperlink r:id="rId159" ref="M129"/>
    <hyperlink r:id="rId160" ref="H130"/>
    <hyperlink r:id="rId161" ref="M130"/>
    <hyperlink r:id="rId162" ref="H131"/>
    <hyperlink r:id="rId163" ref="H132"/>
    <hyperlink r:id="rId164" ref="H133"/>
    <hyperlink r:id="rId165" ref="H135"/>
    <hyperlink r:id="rId166" ref="H137"/>
    <hyperlink r:id="rId167" ref="H138"/>
    <hyperlink r:id="rId168" ref="M139"/>
    <hyperlink r:id="rId169" ref="H140"/>
    <hyperlink r:id="rId170" ref="H141"/>
    <hyperlink r:id="rId171" ref="H143"/>
    <hyperlink r:id="rId172" ref="M143"/>
    <hyperlink r:id="rId173" ref="H144"/>
    <hyperlink r:id="rId174" ref="M144"/>
    <hyperlink r:id="rId175" ref="H145"/>
    <hyperlink r:id="rId176" ref="H146"/>
    <hyperlink r:id="rId177" ref="M146"/>
    <hyperlink r:id="rId178" ref="H147"/>
    <hyperlink r:id="rId179" ref="H148"/>
    <hyperlink r:id="rId180" ref="H150"/>
    <hyperlink r:id="rId181" ref="H151"/>
    <hyperlink r:id="rId182" ref="M151"/>
    <hyperlink r:id="rId183" ref="H152"/>
    <hyperlink r:id="rId184" ref="L152"/>
    <hyperlink r:id="rId185" ref="M152"/>
    <hyperlink r:id="rId186" ref="H153"/>
    <hyperlink r:id="rId187" ref="H154"/>
    <hyperlink r:id="rId188" ref="L154"/>
    <hyperlink r:id="rId189" ref="H156"/>
    <hyperlink r:id="rId190" ref="H157"/>
    <hyperlink r:id="rId191" ref="H159"/>
    <hyperlink r:id="rId192" ref="H160"/>
    <hyperlink r:id="rId193" ref="H161"/>
    <hyperlink r:id="rId194" ref="L161"/>
    <hyperlink r:id="rId195" ref="H162"/>
    <hyperlink r:id="rId196" ref="H165"/>
    <hyperlink r:id="rId197" ref="H169"/>
    <hyperlink r:id="rId198" ref="M169"/>
    <hyperlink r:id="rId199" ref="H170"/>
    <hyperlink r:id="rId200" ref="H173"/>
    <hyperlink r:id="rId201" ref="H174"/>
    <hyperlink r:id="rId202" ref="L174"/>
    <hyperlink r:id="rId203" ref="L175"/>
    <hyperlink r:id="rId204" ref="M175"/>
    <hyperlink r:id="rId205" ref="H178"/>
    <hyperlink r:id="rId206" ref="H179"/>
    <hyperlink r:id="rId207" ref="L179"/>
    <hyperlink r:id="rId208" ref="M179"/>
    <hyperlink r:id="rId209" ref="H181"/>
    <hyperlink r:id="rId210" ref="L181"/>
    <hyperlink r:id="rId211" ref="H185"/>
    <hyperlink r:id="rId212" ref="H186"/>
    <hyperlink r:id="rId213" ref="L186"/>
    <hyperlink r:id="rId214" ref="H187"/>
    <hyperlink r:id="rId215" ref="L187"/>
    <hyperlink r:id="rId216" ref="M187"/>
    <hyperlink r:id="rId217" ref="H188"/>
    <hyperlink r:id="rId218" ref="L188"/>
    <hyperlink r:id="rId219" ref="H189"/>
    <hyperlink r:id="rId220" ref="L189"/>
    <hyperlink r:id="rId221" ref="H190"/>
    <hyperlink r:id="rId222" ref="M190"/>
    <hyperlink r:id="rId223" ref="M192"/>
    <hyperlink r:id="rId224" ref="H193"/>
    <hyperlink r:id="rId225" ref="M193"/>
    <hyperlink r:id="rId226" ref="L194"/>
    <hyperlink r:id="rId227" ref="H195"/>
    <hyperlink r:id="rId228" ref="L196"/>
    <hyperlink r:id="rId229" ref="H197"/>
    <hyperlink r:id="rId230" ref="H198"/>
    <hyperlink r:id="rId231" ref="L198"/>
    <hyperlink r:id="rId232" ref="L200"/>
    <hyperlink r:id="rId233" ref="H201"/>
    <hyperlink r:id="rId234" ref="L201"/>
    <hyperlink r:id="rId235" ref="H206"/>
    <hyperlink r:id="rId236" ref="L206"/>
    <hyperlink r:id="rId237" ref="M208"/>
    <hyperlink r:id="rId238" ref="H209"/>
    <hyperlink r:id="rId239" ref="M209"/>
    <hyperlink r:id="rId240" ref="H212"/>
    <hyperlink r:id="rId241" ref="H215"/>
    <hyperlink r:id="rId242" ref="L215"/>
    <hyperlink r:id="rId243" ref="M215"/>
  </hyperlinks>
  <printOptions/>
  <pageMargins bottom="0.75" footer="0.0" header="0.0" left="0.7" right="0.7" top="0.75"/>
  <pageSetup orientation="landscape"/>
  <drawing r:id="rId2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0.63"/>
    <col customWidth="1" min="5" max="6" width="16.25"/>
    <col customWidth="1" min="9" max="9" width="16.25"/>
  </cols>
  <sheetData>
    <row r="1">
      <c r="D1" s="1" t="s">
        <v>668</v>
      </c>
      <c r="E1" s="1" t="s">
        <v>669</v>
      </c>
      <c r="F1" s="1" t="s">
        <v>670</v>
      </c>
    </row>
    <row r="2">
      <c r="D2" s="4" t="s">
        <v>671</v>
      </c>
      <c r="E2" s="18">
        <f>SUM(Raw_Data_Collection!$D$2:$D$21)</f>
        <v>1446000000000</v>
      </c>
      <c r="F2" s="19">
        <f>E2 / SUM(Raw_Data_Collection!$D$2:$D$215)</f>
        <v>0.6726832899</v>
      </c>
    </row>
    <row r="3">
      <c r="D3" s="4" t="s">
        <v>672</v>
      </c>
      <c r="E3" s="18">
        <f>SUM(Raw_Data_Collection!$D$2:$D$11)</f>
        <v>1271200000000</v>
      </c>
      <c r="F3" s="19">
        <f>E3 / SUM(Raw_Data_Collection!$D$2:$D$215)</f>
        <v>0.5913658355</v>
      </c>
    </row>
    <row r="4">
      <c r="D4" s="4" t="s">
        <v>673</v>
      </c>
      <c r="E4" s="18">
        <f>SUM(Raw_Data_Collection!$D$2:$D$6)</f>
        <v>1126400000000</v>
      </c>
      <c r="F4" s="19">
        <f>E4 / SUM(Raw_Data_Collection!$D$2:$D$215)</f>
        <v>0.5240044659</v>
      </c>
    </row>
    <row r="5">
      <c r="D5" s="1" t="s">
        <v>674</v>
      </c>
      <c r="E5" s="1"/>
      <c r="F5" s="1"/>
    </row>
    <row r="6">
      <c r="D6" s="4" t="s">
        <v>675</v>
      </c>
      <c r="E6" s="18">
        <f>AVERAGE(Raw_Data_Collection!$D$2:$D$215)</f>
        <v>10044859813</v>
      </c>
    </row>
    <row r="7">
      <c r="D7" s="4" t="s">
        <v>676</v>
      </c>
      <c r="E7" s="18">
        <f>MEDIAN(Raw_Data_Collection!$D$2:$D$215)</f>
        <v>3150000000</v>
      </c>
    </row>
    <row r="8">
      <c r="D8" s="4" t="s">
        <v>677</v>
      </c>
      <c r="E8" s="18">
        <f>MODE(Raw_Data_Collection!$D$2:$D$215)</f>
        <v>1300000000</v>
      </c>
    </row>
    <row r="9">
      <c r="D9" s="4" t="s">
        <v>678</v>
      </c>
      <c r="E9" s="18">
        <f>Raw_Data_Collection!$D$2:$D$215</f>
        <v>26700000000</v>
      </c>
    </row>
    <row r="10">
      <c r="D10" s="4" t="s">
        <v>679</v>
      </c>
      <c r="E10" s="18">
        <f>MAX(Raw_Data_Collection!$D$2:$D$215)</f>
        <v>256200000000</v>
      </c>
    </row>
    <row r="11">
      <c r="D11" s="4" t="s">
        <v>680</v>
      </c>
      <c r="E11" s="18">
        <f>MIN(Raw_Data_Collection!$D$2:$D$215)</f>
        <v>1000000000</v>
      </c>
    </row>
    <row r="12">
      <c r="D12" s="4" t="s">
        <v>681</v>
      </c>
      <c r="E12" s="18">
        <f>SUM(Raw_Data_Collection!$D$2:$D$215)</f>
        <v>2149600000000</v>
      </c>
    </row>
    <row r="13">
      <c r="D13" s="4" t="s">
        <v>682</v>
      </c>
      <c r="E13" s="18">
        <v>214.0</v>
      </c>
    </row>
    <row r="14">
      <c r="D14" s="1" t="s">
        <v>683</v>
      </c>
      <c r="E14" s="1" t="s">
        <v>684</v>
      </c>
      <c r="F14" s="1" t="s">
        <v>685</v>
      </c>
      <c r="G14" s="1" t="s">
        <v>670</v>
      </c>
    </row>
    <row r="15">
      <c r="D15" s="4" t="s">
        <v>686</v>
      </c>
      <c r="E15" s="2">
        <f>COUNTIF(Raw_Data_Collection!$F$2:$F$215, "Y")</f>
        <v>9</v>
      </c>
      <c r="F15" s="18">
        <f>SUMIF(Raw_Data_Collection!$F$2:$F$215, "Y", Raw_Data_Collection!$D$2:$D$215)</f>
        <v>806400000000</v>
      </c>
      <c r="G15" s="19">
        <f>F15 / SUM(Raw_Data_Collection!$D$2:$D$215)</f>
        <v>0.3751395608</v>
      </c>
    </row>
    <row r="16">
      <c r="D16" s="4" t="s">
        <v>687</v>
      </c>
      <c r="E16" s="2">
        <f>COUNTIF(Raw_Data_Collection!$F$2:$F$215, "N")</f>
        <v>205</v>
      </c>
      <c r="F16" s="18">
        <f>SUMIF(Raw_Data_Collection!$F$2:$F$215, "N", Raw_Data_Collection!$D$2:$D$215)</f>
        <v>1343200000000</v>
      </c>
      <c r="G16" s="19">
        <f>F16 / SUM(Raw_Data_Collection!$D$2:$D$215)</f>
        <v>0.6248604392</v>
      </c>
    </row>
    <row r="17">
      <c r="D17" s="20" t="s">
        <v>688</v>
      </c>
      <c r="E17" s="21"/>
      <c r="F17" s="22"/>
    </row>
    <row r="18">
      <c r="D18" s="4" t="s">
        <v>675</v>
      </c>
      <c r="E18" s="18">
        <f>AVERAGE(Raw_Data_Collection!$G$2:$G$215)</f>
        <v>33388601.76</v>
      </c>
    </row>
    <row r="19">
      <c r="D19" s="4" t="s">
        <v>676</v>
      </c>
      <c r="E19" s="18">
        <f>MEDIAN(Raw_Data_Collection!$G$2:$G$215)</f>
        <v>15939028.5</v>
      </c>
    </row>
    <row r="20">
      <c r="D20" s="4" t="s">
        <v>677</v>
      </c>
      <c r="E20" s="18">
        <f>MODE(Raw_Data_Collection!$G$2:$G$215)</f>
        <v>30000000</v>
      </c>
    </row>
    <row r="21">
      <c r="D21" s="4" t="s">
        <v>678</v>
      </c>
      <c r="E21" s="18">
        <f>STDEV(Raw_Data_Collection!$G$2:$G$215)</f>
        <v>42566695.54</v>
      </c>
    </row>
    <row r="22">
      <c r="D22" s="4" t="s">
        <v>679</v>
      </c>
      <c r="E22" s="18">
        <f>MAX(Raw_Data_Collection!$G$2:$G$215)</f>
        <v>250000000</v>
      </c>
    </row>
    <row r="23">
      <c r="D23" s="4" t="s">
        <v>680</v>
      </c>
      <c r="E23" s="18">
        <f>MIN(Raw_Data_Collection!$G$2:$G$215)</f>
        <v>800000</v>
      </c>
    </row>
    <row r="24">
      <c r="D24" s="4" t="s">
        <v>681</v>
      </c>
      <c r="E24" s="18">
        <f>SUM(Raw_Data_Collection!$G$2:$G$215)</f>
        <v>4407295432</v>
      </c>
    </row>
    <row r="25">
      <c r="D25" s="4" t="s">
        <v>682</v>
      </c>
      <c r="E25" s="18">
        <f>COUNTIF(Raw_Data_Collection!$G$2:$G$215, "&gt;0")</f>
        <v>132</v>
      </c>
    </row>
    <row r="26">
      <c r="D26" s="20" t="s">
        <v>689</v>
      </c>
      <c r="E26" s="21"/>
      <c r="F26" s="22"/>
    </row>
    <row r="27">
      <c r="D27" s="4" t="s">
        <v>675</v>
      </c>
      <c r="E27" s="18">
        <f>AVERAGE(Raw_Data_Collection!$J$2:$J$215)</f>
        <v>64026430.81</v>
      </c>
    </row>
    <row r="28">
      <c r="D28" s="4" t="s">
        <v>676</v>
      </c>
      <c r="E28" s="18">
        <f>MEDIAN(Raw_Data_Collection!$J$2:$J$215)</f>
        <v>19963888.5</v>
      </c>
    </row>
    <row r="29">
      <c r="D29" s="4" t="s">
        <v>677</v>
      </c>
      <c r="E29" s="18">
        <f>MODE(Raw_Data_Collection!$J$2:$J$215)</f>
        <v>17115689</v>
      </c>
    </row>
    <row r="30">
      <c r="D30" s="4" t="s">
        <v>678</v>
      </c>
      <c r="E30" s="18">
        <f>STDEV(Raw_Data_Collection!$J$2:$J$215)</f>
        <v>98671832.01</v>
      </c>
    </row>
    <row r="31">
      <c r="D31" s="4" t="s">
        <v>679</v>
      </c>
      <c r="E31" s="18">
        <f>MAX(Raw_Data_Collection!$J$2:$J$215)</f>
        <v>600000000</v>
      </c>
    </row>
    <row r="32">
      <c r="D32" s="4" t="s">
        <v>680</v>
      </c>
      <c r="E32" s="18">
        <f>MIN(Raw_Data_Collection!$J$2:$J$215)</f>
        <v>3250000</v>
      </c>
    </row>
    <row r="33">
      <c r="D33" s="4" t="s">
        <v>681</v>
      </c>
      <c r="E33" s="18">
        <f>SUM(Raw_Data_Collection!$J$2:$J$215)</f>
        <v>4737955880</v>
      </c>
    </row>
    <row r="34">
      <c r="D34" s="4" t="s">
        <v>682</v>
      </c>
      <c r="E34" s="18">
        <f>COUNTIF(Raw_Data_Collection!$J$2:$J$215, "&gt;0")</f>
        <v>74</v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mergeCells count="2">
    <mergeCell ref="D17:F17"/>
    <mergeCell ref="D26:F26"/>
  </mergeCell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8.63"/>
    <col customWidth="1" min="2" max="2" width="22.5"/>
    <col customWidth="1" min="3" max="3" width="12.0"/>
    <col customWidth="1" min="4" max="4" width="20.5"/>
    <col customWidth="1" min="5" max="6" width="15.25"/>
    <col customWidth="1" min="7" max="7" width="14.38"/>
    <col customWidth="1" min="8" max="8" width="39.5"/>
    <col customWidth="1" min="9" max="9" width="28.75"/>
    <col customWidth="1" min="10" max="10" width="26.0"/>
    <col customWidth="1" min="11" max="11" width="26.63"/>
    <col customWidth="1" min="12" max="12" width="26.0"/>
    <col customWidth="1" min="13" max="14" width="31.5"/>
    <col customWidth="1" min="15" max="15" width="32.5"/>
    <col customWidth="1" min="16" max="22" width="27.88"/>
    <col customWidth="1" min="23" max="23" width="26.0"/>
    <col customWidth="1" min="24" max="24" width="77.5"/>
    <col customWidth="1" min="25" max="25" width="112.25"/>
    <col customWidth="1" min="26" max="42" width="8.63"/>
  </cols>
  <sheetData>
    <row r="1" ht="14.25" customHeight="1">
      <c r="A1" s="1"/>
      <c r="B1" s="1"/>
      <c r="C1" s="1"/>
      <c r="D1" s="23"/>
      <c r="E1" s="1"/>
      <c r="F1" s="24"/>
      <c r="G1" s="24"/>
      <c r="H1" s="24"/>
      <c r="I1" s="24"/>
      <c r="J1" s="24"/>
      <c r="K1" s="24"/>
      <c r="L1" s="25"/>
      <c r="M1" s="26"/>
      <c r="N1" s="25"/>
      <c r="O1" s="27" t="s">
        <v>691</v>
      </c>
      <c r="P1" s="21"/>
      <c r="Q1" s="21"/>
      <c r="R1" s="28" t="s">
        <v>692</v>
      </c>
      <c r="S1" s="21"/>
      <c r="T1" s="21"/>
      <c r="U1" s="22"/>
      <c r="V1" s="24"/>
      <c r="W1" s="24"/>
      <c r="X1" s="24"/>
      <c r="Y1" s="24"/>
    </row>
    <row r="2" ht="14.25" customHeight="1">
      <c r="A2" s="1" t="s">
        <v>0</v>
      </c>
      <c r="B2" s="1" t="s">
        <v>1</v>
      </c>
      <c r="C2" s="24" t="s">
        <v>693</v>
      </c>
      <c r="D2" s="23" t="s">
        <v>3</v>
      </c>
      <c r="E2" s="1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694</v>
      </c>
      <c r="L2" s="24" t="s">
        <v>695</v>
      </c>
      <c r="M2" s="24" t="s">
        <v>696</v>
      </c>
      <c r="N2" s="24" t="s">
        <v>697</v>
      </c>
      <c r="O2" s="24" t="s">
        <v>698</v>
      </c>
      <c r="P2" s="24" t="s">
        <v>699</v>
      </c>
      <c r="Q2" s="24" t="s">
        <v>700</v>
      </c>
      <c r="R2" s="24" t="s">
        <v>701</v>
      </c>
      <c r="S2" s="24" t="s">
        <v>702</v>
      </c>
      <c r="T2" s="24" t="s">
        <v>703</v>
      </c>
      <c r="U2" s="24" t="s">
        <v>704</v>
      </c>
      <c r="V2" s="24" t="s">
        <v>10</v>
      </c>
      <c r="W2" s="24" t="s">
        <v>11</v>
      </c>
      <c r="X2" s="24" t="s">
        <v>12</v>
      </c>
      <c r="Y2" s="24" t="s">
        <v>13</v>
      </c>
    </row>
    <row r="3" ht="14.25" customHeight="1">
      <c r="A3" s="2">
        <v>1.0</v>
      </c>
      <c r="B3" s="2" t="s">
        <v>15</v>
      </c>
      <c r="C3" s="2" t="s">
        <v>16</v>
      </c>
      <c r="D3" s="3">
        <v>2.562E11</v>
      </c>
      <c r="E3" s="2" t="s">
        <v>17</v>
      </c>
      <c r="F3" s="4" t="str">
        <f>VLOOKUP(B3,Raw_Data_Collection!$B$2:$F$215,5,FALSE)</f>
        <v>Y</v>
      </c>
      <c r="G3" s="3">
        <f>VLOOKUP(B3,Raw_Data_Collection!$B$2:$J$215,6,FALSE)</f>
        <v>101500000</v>
      </c>
      <c r="H3" s="5" t="s">
        <v>19</v>
      </c>
      <c r="I3" s="4">
        <v>2024.0</v>
      </c>
      <c r="J3" s="2" t="str">
        <f>VLOOKUP(B3,Raw_Data_Collection!$B$2:$J$215,9,FALSE)</f>
        <v/>
      </c>
      <c r="K3" s="18">
        <f>VLOOKUP(B3,Real_Estate_Stats!$A$2:$G$215,7,FALSE)</f>
        <v>101500000</v>
      </c>
      <c r="L3" s="18">
        <f t="shared" ref="L3:L216" si="1">D3-K3</f>
        <v>256098500000</v>
      </c>
      <c r="M3" s="4">
        <v>0.37</v>
      </c>
      <c r="N3" s="4">
        <v>0.05</v>
      </c>
      <c r="O3" s="29">
        <f t="shared" ref="O3:O216" si="2">L3*N3</f>
        <v>12804925000</v>
      </c>
      <c r="P3" s="29">
        <f t="shared" ref="P3:P216" si="3">O3/(1-M3)</f>
        <v>20325277778</v>
      </c>
      <c r="Q3" s="29">
        <f t="shared" ref="Q3:Q216" si="4">P3*M3</f>
        <v>7520352778</v>
      </c>
      <c r="R3" s="4">
        <v>0.075</v>
      </c>
      <c r="S3" s="29">
        <f t="shared" ref="S3:S216" si="5">L3*N3 + (L3*N3*R3*(4+3+2+1+0)/5)</f>
        <v>14725663750</v>
      </c>
      <c r="T3" s="29">
        <f t="shared" ref="T3:T216" si="6">S3/(1-M3)</f>
        <v>23374069444</v>
      </c>
      <c r="U3" s="29">
        <f t="shared" ref="U3:U216" si="7">T3*M3</f>
        <v>8648405694</v>
      </c>
      <c r="X3" s="4" t="s">
        <v>20</v>
      </c>
      <c r="Y3" s="6" t="s">
        <v>21</v>
      </c>
    </row>
    <row r="4" ht="14.25" customHeight="1">
      <c r="A4" s="2">
        <v>2.0</v>
      </c>
      <c r="B4" s="2" t="s">
        <v>22</v>
      </c>
      <c r="C4" s="2" t="s">
        <v>23</v>
      </c>
      <c r="D4" s="3">
        <v>2.461E11</v>
      </c>
      <c r="E4" s="2" t="s">
        <v>24</v>
      </c>
      <c r="F4" s="4" t="str">
        <f>VLOOKUP(B4,Raw_Data_Collection!$B$2:$F$215,5,FALSE)</f>
        <v>Y</v>
      </c>
      <c r="G4" s="3">
        <f>VLOOKUP(B4,Raw_Data_Collection!$B$2:$J$215,6,FALSE)</f>
        <v>45000000</v>
      </c>
      <c r="H4" s="5" t="s">
        <v>25</v>
      </c>
      <c r="I4" s="4">
        <v>2025.0</v>
      </c>
      <c r="J4" s="2" t="str">
        <f>VLOOKUP(B4,Raw_Data_Collection!$B$2:$J$215,9,FALSE)</f>
        <v/>
      </c>
      <c r="K4" s="18">
        <f>VLOOKUP(B4,Real_Estate_Stats!$A$2:$G$215,7,FALSE)</f>
        <v>45000000</v>
      </c>
      <c r="L4" s="18">
        <f t="shared" si="1"/>
        <v>246055000000</v>
      </c>
      <c r="M4" s="4">
        <v>0.37</v>
      </c>
      <c r="N4" s="4">
        <v>0.05</v>
      </c>
      <c r="O4" s="29">
        <f t="shared" si="2"/>
        <v>12302750000</v>
      </c>
      <c r="P4" s="29">
        <f t="shared" si="3"/>
        <v>19528174603</v>
      </c>
      <c r="Q4" s="29">
        <f t="shared" si="4"/>
        <v>7225424603</v>
      </c>
      <c r="R4" s="4">
        <v>0.075</v>
      </c>
      <c r="S4" s="29">
        <f t="shared" si="5"/>
        <v>14148162500</v>
      </c>
      <c r="T4" s="29">
        <f t="shared" si="6"/>
        <v>22457400794</v>
      </c>
      <c r="U4" s="29">
        <f t="shared" si="7"/>
        <v>8309238294</v>
      </c>
      <c r="V4" s="4"/>
      <c r="W4" s="4"/>
      <c r="X4" s="4" t="s">
        <v>26</v>
      </c>
      <c r="Y4" s="5" t="s">
        <v>27</v>
      </c>
    </row>
    <row r="5" ht="14.25" customHeight="1">
      <c r="A5" s="2">
        <v>3.0</v>
      </c>
      <c r="B5" s="2" t="s">
        <v>28</v>
      </c>
      <c r="C5" s="2" t="s">
        <v>29</v>
      </c>
      <c r="D5" s="3">
        <v>2.364E11</v>
      </c>
      <c r="E5" s="2" t="s">
        <v>30</v>
      </c>
      <c r="F5" s="4" t="str">
        <f>VLOOKUP(B5,Raw_Data_Collection!$B$2:$F$215,5,FALSE)</f>
        <v>Y</v>
      </c>
      <c r="G5" s="3">
        <f>VLOOKUP(B5,Raw_Data_Collection!$B$2:$J$215,6,FALSE)</f>
        <v>35000000</v>
      </c>
      <c r="I5" s="4">
        <v>2025.0</v>
      </c>
      <c r="J5" s="2" t="str">
        <f>VLOOKUP(B5,Raw_Data_Collection!$B$2:$J$215,9,FALSE)</f>
        <v/>
      </c>
      <c r="K5" s="18">
        <f>VLOOKUP(B5,Real_Estate_Stats!$A$2:$G$215,7,FALSE)</f>
        <v>35000000</v>
      </c>
      <c r="L5" s="18">
        <f t="shared" si="1"/>
        <v>236365000000</v>
      </c>
      <c r="M5" s="4">
        <v>0.37</v>
      </c>
      <c r="N5" s="4">
        <v>0.05</v>
      </c>
      <c r="O5" s="29">
        <f t="shared" si="2"/>
        <v>11818250000</v>
      </c>
      <c r="P5" s="29">
        <f t="shared" si="3"/>
        <v>18759126984</v>
      </c>
      <c r="Q5" s="29">
        <f t="shared" si="4"/>
        <v>6940876984</v>
      </c>
      <c r="R5" s="4">
        <v>0.075</v>
      </c>
      <c r="S5" s="29">
        <f t="shared" si="5"/>
        <v>13590987500</v>
      </c>
      <c r="T5" s="29">
        <f t="shared" si="6"/>
        <v>21572996032</v>
      </c>
      <c r="U5" s="29">
        <f t="shared" si="7"/>
        <v>7982008532</v>
      </c>
      <c r="V5" s="4"/>
      <c r="W5" s="4"/>
      <c r="Y5" s="5" t="s">
        <v>31</v>
      </c>
    </row>
    <row r="6" ht="14.25" customHeight="1">
      <c r="A6" s="2">
        <v>4.0</v>
      </c>
      <c r="B6" s="2" t="s">
        <v>32</v>
      </c>
      <c r="C6" s="2" t="s">
        <v>33</v>
      </c>
      <c r="D6" s="3">
        <v>2.251E11</v>
      </c>
      <c r="E6" s="2" t="s">
        <v>17</v>
      </c>
      <c r="F6" s="4" t="str">
        <f>VLOOKUP(B6,Raw_Data_Collection!$B$2:$F$215,5,FALSE)</f>
        <v>N</v>
      </c>
      <c r="G6" s="3">
        <f>VLOOKUP(B6,Raw_Data_Collection!$B$2:$J$215,6,FALSE)</f>
        <v>112000000</v>
      </c>
      <c r="H6" s="5" t="s">
        <v>35</v>
      </c>
      <c r="I6" s="4">
        <v>2025.0</v>
      </c>
      <c r="J6" s="18">
        <f>VLOOKUP(B6,Raw_Data_Collection!$B$2:$J$215,9,FALSE)</f>
        <v>300000000</v>
      </c>
      <c r="K6" s="18">
        <f>VLOOKUP(B6,Real_Estate_Stats!$A$2:$G$215,7,FALSE)</f>
        <v>300000000</v>
      </c>
      <c r="L6" s="18">
        <f t="shared" si="1"/>
        <v>224800000000</v>
      </c>
      <c r="M6" s="4">
        <v>0.37</v>
      </c>
      <c r="N6" s="4">
        <v>0.05</v>
      </c>
      <c r="O6" s="29">
        <f t="shared" si="2"/>
        <v>11240000000</v>
      </c>
      <c r="P6" s="29">
        <f t="shared" si="3"/>
        <v>17841269841</v>
      </c>
      <c r="Q6" s="29">
        <f t="shared" si="4"/>
        <v>6601269841</v>
      </c>
      <c r="R6" s="4">
        <v>0.075</v>
      </c>
      <c r="S6" s="29">
        <f t="shared" si="5"/>
        <v>12926000000</v>
      </c>
      <c r="T6" s="29">
        <f t="shared" si="6"/>
        <v>20517460317</v>
      </c>
      <c r="U6" s="29">
        <f t="shared" si="7"/>
        <v>7591460317</v>
      </c>
      <c r="V6" s="4" t="s">
        <v>36</v>
      </c>
      <c r="W6" s="6" t="s">
        <v>37</v>
      </c>
      <c r="X6" s="4" t="s">
        <v>38</v>
      </c>
    </row>
    <row r="7" ht="14.25" customHeight="1">
      <c r="A7" s="2">
        <v>5.0</v>
      </c>
      <c r="B7" s="2" t="s">
        <v>39</v>
      </c>
      <c r="C7" s="2" t="s">
        <v>40</v>
      </c>
      <c r="D7" s="3">
        <v>1.626E11</v>
      </c>
      <c r="E7" s="2" t="s">
        <v>30</v>
      </c>
      <c r="F7" s="4" t="str">
        <f>VLOOKUP(B7,Raw_Data_Collection!$B$2:$F$215,5,FALSE)</f>
        <v>N</v>
      </c>
      <c r="G7" s="3">
        <f>VLOOKUP(B7,Raw_Data_Collection!$B$2:$J$215,6,FALSE)</f>
        <v>6900000</v>
      </c>
      <c r="H7" s="5" t="s">
        <v>41</v>
      </c>
      <c r="I7" s="4">
        <v>2025.0</v>
      </c>
      <c r="J7" s="18">
        <f>VLOOKUP(B7,Raw_Data_Collection!$B$2:$J$215,9,FALSE)</f>
        <v>52400000</v>
      </c>
      <c r="K7" s="18">
        <f>VLOOKUP(B7,Real_Estate_Stats!$A$2:$G$215,7,FALSE)</f>
        <v>52400000</v>
      </c>
      <c r="L7" s="18">
        <f t="shared" si="1"/>
        <v>162547600000</v>
      </c>
      <c r="M7" s="4">
        <v>0.37</v>
      </c>
      <c r="N7" s="4">
        <v>0.05</v>
      </c>
      <c r="O7" s="29">
        <f t="shared" si="2"/>
        <v>8127380000</v>
      </c>
      <c r="P7" s="29">
        <f t="shared" si="3"/>
        <v>12900603175</v>
      </c>
      <c r="Q7" s="29">
        <f t="shared" si="4"/>
        <v>4773223175</v>
      </c>
      <c r="R7" s="4">
        <v>0.075</v>
      </c>
      <c r="S7" s="29">
        <f t="shared" si="5"/>
        <v>9346487000</v>
      </c>
      <c r="T7" s="29">
        <f t="shared" si="6"/>
        <v>14835693651</v>
      </c>
      <c r="U7" s="29">
        <f t="shared" si="7"/>
        <v>5489206651</v>
      </c>
      <c r="V7" s="4">
        <v>2004.0</v>
      </c>
      <c r="W7" s="6" t="s">
        <v>42</v>
      </c>
      <c r="X7" s="4" t="s">
        <v>43</v>
      </c>
      <c r="Y7" s="5" t="s">
        <v>44</v>
      </c>
    </row>
    <row r="8" ht="14.25" customHeight="1">
      <c r="A8" s="2">
        <v>6.0</v>
      </c>
      <c r="B8" s="2" t="s">
        <v>45</v>
      </c>
      <c r="C8" s="2" t="s">
        <v>46</v>
      </c>
      <c r="D8" s="3">
        <v>3.56E10</v>
      </c>
      <c r="E8" s="4" t="s">
        <v>47</v>
      </c>
      <c r="F8" s="4" t="str">
        <f>VLOOKUP(B8,Raw_Data_Collection!$B$2:$F$215,5,FALSE)</f>
        <v>N</v>
      </c>
      <c r="G8" s="3">
        <f>VLOOKUP(B8,Raw_Data_Collection!$B$2:$J$215,6,FALSE)</f>
        <v>110000000</v>
      </c>
      <c r="I8" s="4">
        <v>2025.0</v>
      </c>
      <c r="J8" s="18">
        <f>VLOOKUP(B8,Raw_Data_Collection!$B$2:$J$215,9,FALSE)</f>
        <v>600000000</v>
      </c>
      <c r="K8" s="18">
        <f>VLOOKUP(B8,Real_Estate_Stats!$A$2:$G$215,7,FALSE)</f>
        <v>600000000</v>
      </c>
      <c r="L8" s="18">
        <f t="shared" si="1"/>
        <v>35000000000</v>
      </c>
      <c r="M8" s="4">
        <v>0.37</v>
      </c>
      <c r="N8" s="4">
        <v>0.05</v>
      </c>
      <c r="O8" s="29">
        <f t="shared" si="2"/>
        <v>1750000000</v>
      </c>
      <c r="P8" s="29">
        <f t="shared" si="3"/>
        <v>2777777778</v>
      </c>
      <c r="Q8" s="29">
        <f t="shared" si="4"/>
        <v>1027777778</v>
      </c>
      <c r="R8" s="4">
        <v>0.075</v>
      </c>
      <c r="S8" s="29">
        <f t="shared" si="5"/>
        <v>2012500000</v>
      </c>
      <c r="T8" s="29">
        <f t="shared" si="6"/>
        <v>3194444444</v>
      </c>
      <c r="U8" s="29">
        <f t="shared" si="7"/>
        <v>1181944444</v>
      </c>
      <c r="V8" s="4">
        <v>2025.0</v>
      </c>
      <c r="W8" s="6" t="s">
        <v>48</v>
      </c>
      <c r="X8" s="4" t="s">
        <v>49</v>
      </c>
    </row>
    <row r="9" ht="14.25" customHeight="1">
      <c r="A9" s="2">
        <v>7.0</v>
      </c>
      <c r="B9" s="2" t="s">
        <v>50</v>
      </c>
      <c r="C9" s="2" t="s">
        <v>51</v>
      </c>
      <c r="D9" s="3">
        <v>3.2E10</v>
      </c>
      <c r="E9" s="2" t="s">
        <v>52</v>
      </c>
      <c r="F9" s="4" t="str">
        <f>VLOOKUP(B9,Raw_Data_Collection!$B$2:$F$215,5,FALSE)</f>
        <v>N</v>
      </c>
      <c r="G9" s="3">
        <f>VLOOKUP(B9,Raw_Data_Collection!$B$2:$J$215,6,FALSE)</f>
        <v>20150000</v>
      </c>
      <c r="H9" s="5" t="s">
        <v>53</v>
      </c>
      <c r="I9" s="4">
        <v>2024.0</v>
      </c>
      <c r="J9" s="18">
        <f>VLOOKUP(B9,Raw_Data_Collection!$B$2:$J$215,9,FALSE)</f>
        <v>20150000</v>
      </c>
      <c r="K9" s="18">
        <f>VLOOKUP(B9,Real_Estate_Stats!$A$2:$G$215,7,FALSE)</f>
        <v>20150000</v>
      </c>
      <c r="L9" s="18">
        <f t="shared" si="1"/>
        <v>31979850000</v>
      </c>
      <c r="M9" s="4">
        <v>0.37</v>
      </c>
      <c r="N9" s="4">
        <v>0.05</v>
      </c>
      <c r="O9" s="29">
        <f t="shared" si="2"/>
        <v>1598992500</v>
      </c>
      <c r="P9" s="29">
        <f t="shared" si="3"/>
        <v>2538083333</v>
      </c>
      <c r="Q9" s="29">
        <f t="shared" si="4"/>
        <v>939090833.3</v>
      </c>
      <c r="R9" s="4">
        <v>0.075</v>
      </c>
      <c r="S9" s="29">
        <f t="shared" si="5"/>
        <v>1838841375</v>
      </c>
      <c r="T9" s="29">
        <f t="shared" si="6"/>
        <v>2918795833</v>
      </c>
      <c r="U9" s="29">
        <f t="shared" si="7"/>
        <v>1079954458</v>
      </c>
      <c r="V9" s="4">
        <v>2024.0</v>
      </c>
      <c r="W9" s="5" t="s">
        <v>53</v>
      </c>
      <c r="X9" s="4" t="s">
        <v>54</v>
      </c>
    </row>
    <row r="10" ht="14.25" customHeight="1">
      <c r="A10" s="2">
        <v>8.0</v>
      </c>
      <c r="B10" s="2" t="s">
        <v>55</v>
      </c>
      <c r="C10" s="2" t="s">
        <v>56</v>
      </c>
      <c r="D10" s="3">
        <v>2.67E10</v>
      </c>
      <c r="E10" s="2" t="s">
        <v>47</v>
      </c>
      <c r="F10" s="4" t="str">
        <f>VLOOKUP(B10,Raw_Data_Collection!$B$2:$F$215,5,FALSE)</f>
        <v>Y</v>
      </c>
      <c r="G10" s="3">
        <f>VLOOKUP(B10,Raw_Data_Collection!$B$2:$J$215,6,FALSE)</f>
        <v>11500000</v>
      </c>
      <c r="H10" s="5" t="s">
        <v>57</v>
      </c>
      <c r="I10" s="4">
        <v>2018.0</v>
      </c>
      <c r="J10" s="18">
        <f>VLOOKUP(B10,Raw_Data_Collection!$B$2:$J$215,9,FALSE)</f>
        <v>77200000</v>
      </c>
      <c r="K10" s="18">
        <f>VLOOKUP(B10,Real_Estate_Stats!$A$2:$G$215,7,FALSE)</f>
        <v>77200000</v>
      </c>
      <c r="L10" s="18">
        <f t="shared" si="1"/>
        <v>26622800000</v>
      </c>
      <c r="M10" s="4">
        <v>0.37</v>
      </c>
      <c r="N10" s="4">
        <v>0.05</v>
      </c>
      <c r="O10" s="29">
        <f t="shared" si="2"/>
        <v>1331140000</v>
      </c>
      <c r="P10" s="29">
        <f t="shared" si="3"/>
        <v>2112920635</v>
      </c>
      <c r="Q10" s="29">
        <f t="shared" si="4"/>
        <v>781780634.9</v>
      </c>
      <c r="R10" s="4">
        <v>0.075</v>
      </c>
      <c r="S10" s="29">
        <f t="shared" si="5"/>
        <v>1530811000</v>
      </c>
      <c r="T10" s="29">
        <f t="shared" si="6"/>
        <v>2429858730</v>
      </c>
      <c r="U10" s="29">
        <f t="shared" si="7"/>
        <v>899047730.2</v>
      </c>
      <c r="V10" s="4" t="s">
        <v>58</v>
      </c>
      <c r="W10" s="4" t="s">
        <v>59</v>
      </c>
      <c r="Y10" s="5" t="s">
        <v>60</v>
      </c>
    </row>
    <row r="11" ht="14.25" customHeight="1">
      <c r="A11" s="2">
        <v>9.0</v>
      </c>
      <c r="B11" s="2" t="s">
        <v>61</v>
      </c>
      <c r="C11" s="2" t="s">
        <v>62</v>
      </c>
      <c r="D11" s="3">
        <v>2.55E10</v>
      </c>
      <c r="E11" s="2" t="s">
        <v>63</v>
      </c>
      <c r="F11" s="4" t="str">
        <f>VLOOKUP(B11,Raw_Data_Collection!$B$2:$F$215,5,FALSE)</f>
        <v>N</v>
      </c>
      <c r="G11" s="3">
        <f>VLOOKUP(B11,Raw_Data_Collection!$B$2:$J$215,6,FALSE)</f>
        <v>21550000</v>
      </c>
      <c r="H11" s="5" t="s">
        <v>64</v>
      </c>
      <c r="I11" s="4">
        <v>2024.0</v>
      </c>
      <c r="J11" s="2" t="str">
        <f>VLOOKUP(B11,Raw_Data_Collection!$B$2:$J$215,9,FALSE)</f>
        <v/>
      </c>
      <c r="K11" s="18">
        <f>VLOOKUP(B11,Real_Estate_Stats!$A$2:$G$215,7,FALSE)</f>
        <v>21550000</v>
      </c>
      <c r="L11" s="18">
        <f t="shared" si="1"/>
        <v>25478450000</v>
      </c>
      <c r="M11" s="4">
        <v>0.37</v>
      </c>
      <c r="N11" s="4">
        <v>0.05</v>
      </c>
      <c r="O11" s="29">
        <f t="shared" si="2"/>
        <v>1273922500</v>
      </c>
      <c r="P11" s="29">
        <f t="shared" si="3"/>
        <v>2022099206</v>
      </c>
      <c r="Q11" s="29">
        <f t="shared" si="4"/>
        <v>748176706.3</v>
      </c>
      <c r="R11" s="4">
        <v>0.075</v>
      </c>
      <c r="S11" s="29">
        <f t="shared" si="5"/>
        <v>1465010875</v>
      </c>
      <c r="T11" s="29">
        <f t="shared" si="6"/>
        <v>2325414087</v>
      </c>
      <c r="U11" s="29">
        <f t="shared" si="7"/>
        <v>860403212.3</v>
      </c>
      <c r="X11" s="4" t="s">
        <v>65</v>
      </c>
    </row>
    <row r="12" ht="14.25" customHeight="1">
      <c r="A12" s="2">
        <v>10.0</v>
      </c>
      <c r="B12" s="2" t="s">
        <v>66</v>
      </c>
      <c r="C12" s="2" t="s">
        <v>67</v>
      </c>
      <c r="D12" s="3">
        <v>2.5E10</v>
      </c>
      <c r="E12" s="2" t="s">
        <v>68</v>
      </c>
      <c r="F12" s="4" t="str">
        <f>VLOOKUP(B12,Raw_Data_Collection!$B$2:$F$215,5,FALSE)</f>
        <v>N</v>
      </c>
      <c r="G12" s="3" t="str">
        <f>VLOOKUP(B12,Raw_Data_Collection!$B$2:$J$215,6,FALSE)</f>
        <v/>
      </c>
      <c r="J12" s="2" t="str">
        <f>VLOOKUP(B12,Raw_Data_Collection!$B$2:$J$215,9,FALSE)</f>
        <v/>
      </c>
      <c r="K12" s="18">
        <f>VLOOKUP(B12,Real_Estate_Stats!$A$2:$G$215,7,FALSE)</f>
        <v>159008928.6</v>
      </c>
      <c r="L12" s="18">
        <f t="shared" si="1"/>
        <v>24840991071</v>
      </c>
      <c r="M12" s="4">
        <v>0.37</v>
      </c>
      <c r="N12" s="4">
        <v>0.05</v>
      </c>
      <c r="O12" s="29">
        <f t="shared" si="2"/>
        <v>1242049554</v>
      </c>
      <c r="P12" s="29">
        <f t="shared" si="3"/>
        <v>1971507228</v>
      </c>
      <c r="Q12" s="29">
        <f t="shared" si="4"/>
        <v>729457674.3</v>
      </c>
      <c r="R12" s="4">
        <v>0.075</v>
      </c>
      <c r="S12" s="29">
        <f t="shared" si="5"/>
        <v>1428356987</v>
      </c>
      <c r="T12" s="29">
        <f t="shared" si="6"/>
        <v>2267233312</v>
      </c>
      <c r="U12" s="29">
        <f t="shared" si="7"/>
        <v>838876325.5</v>
      </c>
    </row>
    <row r="13" ht="14.25" customHeight="1">
      <c r="A13" s="2">
        <v>11.0</v>
      </c>
      <c r="B13" s="2" t="s">
        <v>70</v>
      </c>
      <c r="C13" s="2" t="s">
        <v>71</v>
      </c>
      <c r="D13" s="3">
        <v>2.19E10</v>
      </c>
      <c r="E13" s="2" t="s">
        <v>72</v>
      </c>
      <c r="F13" s="4" t="str">
        <f>VLOOKUP(B13,Raw_Data_Collection!$B$2:$F$215,5,FALSE)</f>
        <v>N</v>
      </c>
      <c r="G13" s="3">
        <f>VLOOKUP(B13,Raw_Data_Collection!$B$2:$J$215,6,FALSE)</f>
        <v>19777777</v>
      </c>
      <c r="H13" s="5" t="s">
        <v>73</v>
      </c>
      <c r="I13" s="4">
        <v>2010.0</v>
      </c>
      <c r="J13" s="18">
        <f>VLOOKUP(B13,Raw_Data_Collection!$B$2:$J$215,9,FALSE)</f>
        <v>19777777</v>
      </c>
      <c r="K13" s="18">
        <f>VLOOKUP(B13,Real_Estate_Stats!$A$2:$G$215,7,FALSE)</f>
        <v>19777777</v>
      </c>
      <c r="L13" s="18">
        <f t="shared" si="1"/>
        <v>21880222223</v>
      </c>
      <c r="M13" s="4">
        <v>0.37</v>
      </c>
      <c r="N13" s="4">
        <v>0.05</v>
      </c>
      <c r="O13" s="29">
        <f t="shared" si="2"/>
        <v>1094011111</v>
      </c>
      <c r="P13" s="29">
        <f t="shared" si="3"/>
        <v>1736525573</v>
      </c>
      <c r="Q13" s="29">
        <f t="shared" si="4"/>
        <v>642514462.1</v>
      </c>
      <c r="R13" s="4">
        <v>0.075</v>
      </c>
      <c r="S13" s="29">
        <f t="shared" si="5"/>
        <v>1258112778</v>
      </c>
      <c r="T13" s="29">
        <f t="shared" si="6"/>
        <v>1997004409</v>
      </c>
      <c r="U13" s="29">
        <f t="shared" si="7"/>
        <v>738891631.4</v>
      </c>
      <c r="V13" s="4">
        <v>2010.0</v>
      </c>
      <c r="W13" s="5" t="s">
        <v>73</v>
      </c>
    </row>
    <row r="14" ht="14.25" customHeight="1">
      <c r="A14" s="2">
        <v>12.0</v>
      </c>
      <c r="B14" s="2" t="s">
        <v>74</v>
      </c>
      <c r="C14" s="2" t="s">
        <v>75</v>
      </c>
      <c r="D14" s="3">
        <v>2.0E10</v>
      </c>
      <c r="E14" s="2" t="s">
        <v>24</v>
      </c>
      <c r="F14" s="4" t="str">
        <f>VLOOKUP(B14,Raw_Data_Collection!$B$2:$F$215,5,FALSE)</f>
        <v>N</v>
      </c>
      <c r="G14" s="3" t="str">
        <f>VLOOKUP(B14,Raw_Data_Collection!$B$2:$J$215,6,FALSE)</f>
        <v/>
      </c>
      <c r="J14" s="2" t="str">
        <f>VLOOKUP(B14,Raw_Data_Collection!$B$2:$J$215,9,FALSE)</f>
        <v/>
      </c>
      <c r="K14" s="18">
        <f>VLOOKUP(B14,Real_Estate_Stats!$A$2:$G$215,7,FALSE)</f>
        <v>127207142.9</v>
      </c>
      <c r="L14" s="18">
        <f t="shared" si="1"/>
        <v>19872792857</v>
      </c>
      <c r="M14" s="4">
        <v>0.37</v>
      </c>
      <c r="N14" s="4">
        <v>0.05</v>
      </c>
      <c r="O14" s="29">
        <f t="shared" si="2"/>
        <v>993639642.9</v>
      </c>
      <c r="P14" s="29">
        <f t="shared" si="3"/>
        <v>1577205782</v>
      </c>
      <c r="Q14" s="29">
        <f t="shared" si="4"/>
        <v>583566139.5</v>
      </c>
      <c r="R14" s="4">
        <v>0.075</v>
      </c>
      <c r="S14" s="29">
        <f t="shared" si="5"/>
        <v>1142685589</v>
      </c>
      <c r="T14" s="29">
        <f t="shared" si="6"/>
        <v>1813786650</v>
      </c>
      <c r="U14" s="29">
        <f t="shared" si="7"/>
        <v>671101060.4</v>
      </c>
    </row>
    <row r="15" ht="14.25" customHeight="1">
      <c r="A15" s="2">
        <v>13.0</v>
      </c>
      <c r="B15" s="2" t="s">
        <v>76</v>
      </c>
      <c r="C15" s="2" t="s">
        <v>77</v>
      </c>
      <c r="D15" s="3">
        <v>1.92E10</v>
      </c>
      <c r="E15" s="2" t="s">
        <v>52</v>
      </c>
      <c r="F15" s="4" t="str">
        <f>VLOOKUP(B15,Raw_Data_Collection!$B$2:$F$215,5,FALSE)</f>
        <v>N</v>
      </c>
      <c r="G15" s="3" t="str">
        <f>VLOOKUP(B15,Raw_Data_Collection!$B$2:$J$215,6,FALSE)</f>
        <v/>
      </c>
      <c r="I15" s="4"/>
      <c r="J15" s="2" t="str">
        <f>VLOOKUP(B15,Raw_Data_Collection!$B$2:$J$215,9,FALSE)</f>
        <v/>
      </c>
      <c r="K15" s="18">
        <f>VLOOKUP(B15,Real_Estate_Stats!$A$2:$G$215,7,FALSE)</f>
        <v>122118857.1</v>
      </c>
      <c r="L15" s="18">
        <f t="shared" si="1"/>
        <v>19077881143</v>
      </c>
      <c r="M15" s="4">
        <v>0.37</v>
      </c>
      <c r="N15" s="4">
        <v>0.05</v>
      </c>
      <c r="O15" s="29">
        <f t="shared" si="2"/>
        <v>953894057.1</v>
      </c>
      <c r="P15" s="29">
        <f t="shared" si="3"/>
        <v>1514117551</v>
      </c>
      <c r="Q15" s="29">
        <f t="shared" si="4"/>
        <v>560223493.9</v>
      </c>
      <c r="R15" s="4">
        <v>0.075</v>
      </c>
      <c r="S15" s="29">
        <f t="shared" si="5"/>
        <v>1096978166</v>
      </c>
      <c r="T15" s="29">
        <f t="shared" si="6"/>
        <v>1741235184</v>
      </c>
      <c r="U15" s="29">
        <f t="shared" si="7"/>
        <v>644257018</v>
      </c>
      <c r="V15" s="4"/>
      <c r="W15" s="4"/>
    </row>
    <row r="16" ht="14.25" customHeight="1">
      <c r="A16" s="2">
        <v>14.0</v>
      </c>
      <c r="B16" s="2" t="s">
        <v>78</v>
      </c>
      <c r="C16" s="2" t="s">
        <v>79</v>
      </c>
      <c r="D16" s="3">
        <v>1.79E10</v>
      </c>
      <c r="E16" s="2" t="s">
        <v>80</v>
      </c>
      <c r="F16" s="4" t="str">
        <f>VLOOKUP(B16,Raw_Data_Collection!$B$2:$F$215,5,FALSE)</f>
        <v>N</v>
      </c>
      <c r="G16" s="3">
        <f>VLOOKUP(B16,Raw_Data_Collection!$B$2:$J$215,6,FALSE)</f>
        <v>54000000</v>
      </c>
      <c r="H16" s="5" t="s">
        <v>81</v>
      </c>
      <c r="I16" s="4">
        <v>2023.0</v>
      </c>
      <c r="J16" s="2" t="str">
        <f>VLOOKUP(B16,Raw_Data_Collection!$B$2:$J$215,9,FALSE)</f>
        <v/>
      </c>
      <c r="K16" s="18">
        <f>VLOOKUP(B16,Real_Estate_Stats!$A$2:$G$215,7,FALSE)</f>
        <v>54000000</v>
      </c>
      <c r="L16" s="18">
        <f t="shared" si="1"/>
        <v>17846000000</v>
      </c>
      <c r="M16" s="4">
        <v>0.37</v>
      </c>
      <c r="N16" s="4">
        <v>0.05</v>
      </c>
      <c r="O16" s="29">
        <f t="shared" si="2"/>
        <v>892300000</v>
      </c>
      <c r="P16" s="29">
        <f t="shared" si="3"/>
        <v>1416349206</v>
      </c>
      <c r="Q16" s="29">
        <f t="shared" si="4"/>
        <v>524049206.3</v>
      </c>
      <c r="R16" s="4">
        <v>0.075</v>
      </c>
      <c r="S16" s="29">
        <f t="shared" si="5"/>
        <v>1026145000</v>
      </c>
      <c r="T16" s="29">
        <f t="shared" si="6"/>
        <v>1628801587</v>
      </c>
      <c r="U16" s="29">
        <f t="shared" si="7"/>
        <v>602656587.3</v>
      </c>
      <c r="V16" s="4"/>
      <c r="W16" s="4"/>
    </row>
    <row r="17" ht="14.25" customHeight="1">
      <c r="A17" s="2">
        <v>15.0</v>
      </c>
      <c r="B17" s="2" t="s">
        <v>82</v>
      </c>
      <c r="C17" s="2" t="s">
        <v>83</v>
      </c>
      <c r="D17" s="3">
        <v>1.75E10</v>
      </c>
      <c r="E17" s="2" t="s">
        <v>84</v>
      </c>
      <c r="F17" s="4" t="str">
        <f>VLOOKUP(B17,Raw_Data_Collection!$B$2:$F$215,5,FALSE)</f>
        <v>N</v>
      </c>
      <c r="G17" s="3">
        <f>VLOOKUP(B17,Raw_Data_Collection!$B$2:$J$215,6,FALSE)</f>
        <v>7250000</v>
      </c>
      <c r="H17" s="5" t="s">
        <v>85</v>
      </c>
      <c r="I17" s="4">
        <v>2011.0</v>
      </c>
      <c r="J17" s="2" t="str">
        <f>VLOOKUP(B17,Raw_Data_Collection!$B$2:$J$215,9,FALSE)</f>
        <v/>
      </c>
      <c r="K17" s="18">
        <f>VLOOKUP(B17,Real_Estate_Stats!$A$2:$G$215,7,FALSE)</f>
        <v>7250000</v>
      </c>
      <c r="L17" s="18">
        <f t="shared" si="1"/>
        <v>17492750000</v>
      </c>
      <c r="M17" s="4">
        <v>0.37</v>
      </c>
      <c r="N17" s="4">
        <v>0.05</v>
      </c>
      <c r="O17" s="29">
        <f t="shared" si="2"/>
        <v>874637500</v>
      </c>
      <c r="P17" s="29">
        <f t="shared" si="3"/>
        <v>1388313492</v>
      </c>
      <c r="Q17" s="29">
        <f t="shared" si="4"/>
        <v>513675992.1</v>
      </c>
      <c r="R17" s="4">
        <v>0.075</v>
      </c>
      <c r="S17" s="29">
        <f t="shared" si="5"/>
        <v>1005833125</v>
      </c>
      <c r="T17" s="29">
        <f t="shared" si="6"/>
        <v>1596560516</v>
      </c>
      <c r="U17" s="29">
        <f t="shared" si="7"/>
        <v>590727390.9</v>
      </c>
      <c r="V17" s="4"/>
      <c r="W17" s="4"/>
    </row>
    <row r="18" ht="14.25" customHeight="1">
      <c r="A18" s="2">
        <v>16.0</v>
      </c>
      <c r="B18" s="2" t="s">
        <v>86</v>
      </c>
      <c r="C18" s="2" t="s">
        <v>83</v>
      </c>
      <c r="D18" s="3">
        <v>1.75E10</v>
      </c>
      <c r="E18" s="2" t="s">
        <v>87</v>
      </c>
      <c r="F18" s="4" t="str">
        <f>VLOOKUP(B18,Raw_Data_Collection!$B$2:$F$215,5,FALSE)</f>
        <v>N</v>
      </c>
      <c r="G18" s="3" t="str">
        <f>VLOOKUP(B18,Raw_Data_Collection!$B$2:$J$215,6,FALSE)</f>
        <v/>
      </c>
      <c r="J18" s="2" t="str">
        <f>VLOOKUP(B18,Raw_Data_Collection!$B$2:$J$215,9,FALSE)</f>
        <v/>
      </c>
      <c r="K18" s="18">
        <f>VLOOKUP(B18,Real_Estate_Stats!$A$2:$G$215,7,FALSE)</f>
        <v>111306250</v>
      </c>
      <c r="L18" s="18">
        <f t="shared" si="1"/>
        <v>17388693750</v>
      </c>
      <c r="M18" s="4">
        <v>0.37</v>
      </c>
      <c r="N18" s="4">
        <v>0.05</v>
      </c>
      <c r="O18" s="29">
        <f t="shared" si="2"/>
        <v>869434687.5</v>
      </c>
      <c r="P18" s="29">
        <f t="shared" si="3"/>
        <v>1380055060</v>
      </c>
      <c r="Q18" s="29">
        <f t="shared" si="4"/>
        <v>510620372</v>
      </c>
      <c r="R18" s="4">
        <v>0.075</v>
      </c>
      <c r="S18" s="29">
        <f t="shared" si="5"/>
        <v>999849890.6</v>
      </c>
      <c r="T18" s="29">
        <f t="shared" si="6"/>
        <v>1587063318</v>
      </c>
      <c r="U18" s="29">
        <f t="shared" si="7"/>
        <v>587213427.8</v>
      </c>
    </row>
    <row r="19" ht="14.25" customHeight="1">
      <c r="A19" s="2">
        <v>17.0</v>
      </c>
      <c r="B19" s="2" t="s">
        <v>88</v>
      </c>
      <c r="C19" s="2" t="s">
        <v>89</v>
      </c>
      <c r="D19" s="3">
        <v>1.71E10</v>
      </c>
      <c r="E19" s="2" t="s">
        <v>90</v>
      </c>
      <c r="F19" s="4" t="str">
        <f>VLOOKUP(B19,Raw_Data_Collection!$B$2:$F$215,5,FALSE)</f>
        <v>Y</v>
      </c>
      <c r="G19" s="3">
        <f>VLOOKUP(B19,Raw_Data_Collection!$B$2:$J$215,6,FALSE)</f>
        <v>187000000</v>
      </c>
      <c r="H19" s="5" t="s">
        <v>91</v>
      </c>
      <c r="I19" s="4">
        <v>2021.0</v>
      </c>
      <c r="J19" s="18">
        <f>VLOOKUP(B19,Raw_Data_Collection!$B$2:$J$215,9,FALSE)</f>
        <v>400000000</v>
      </c>
      <c r="K19" s="18">
        <f>VLOOKUP(B19,Real_Estate_Stats!$A$2:$G$215,7,FALSE)</f>
        <v>400000000</v>
      </c>
      <c r="L19" s="18">
        <f t="shared" si="1"/>
        <v>16700000000</v>
      </c>
      <c r="M19" s="4">
        <v>0.37</v>
      </c>
      <c r="N19" s="4">
        <v>0.05</v>
      </c>
      <c r="O19" s="29">
        <f t="shared" si="2"/>
        <v>835000000</v>
      </c>
      <c r="P19" s="29">
        <f t="shared" si="3"/>
        <v>1325396825</v>
      </c>
      <c r="Q19" s="29">
        <f t="shared" si="4"/>
        <v>490396825.4</v>
      </c>
      <c r="R19" s="4">
        <v>0.075</v>
      </c>
      <c r="S19" s="29">
        <f t="shared" si="5"/>
        <v>960250000</v>
      </c>
      <c r="T19" s="29">
        <f t="shared" si="6"/>
        <v>1524206349</v>
      </c>
      <c r="U19" s="29">
        <f t="shared" si="7"/>
        <v>563956349.2</v>
      </c>
      <c r="V19" s="4">
        <v>2021.0</v>
      </c>
      <c r="W19" s="6" t="s">
        <v>92</v>
      </c>
      <c r="X19" s="4" t="s">
        <v>93</v>
      </c>
      <c r="Y19" s="5" t="s">
        <v>94</v>
      </c>
    </row>
    <row r="20" ht="14.25" customHeight="1">
      <c r="A20" s="2">
        <v>18.0</v>
      </c>
      <c r="B20" s="2" t="s">
        <v>95</v>
      </c>
      <c r="C20" s="2" t="s">
        <v>96</v>
      </c>
      <c r="D20" s="3">
        <v>1.59E10</v>
      </c>
      <c r="E20" s="2" t="s">
        <v>90</v>
      </c>
      <c r="F20" s="4" t="str">
        <f>VLOOKUP(B20,Raw_Data_Collection!$B$2:$F$215,5,FALSE)</f>
        <v>N</v>
      </c>
      <c r="G20" s="3">
        <f>VLOOKUP(B20,Raw_Data_Collection!$B$2:$J$215,6,FALSE)</f>
        <v>29084160</v>
      </c>
      <c r="H20" s="5" t="s">
        <v>97</v>
      </c>
      <c r="I20" s="4">
        <v>2020.0</v>
      </c>
      <c r="J20" s="2" t="str">
        <f>VLOOKUP(B20,Raw_Data_Collection!$B$2:$J$215,9,FALSE)</f>
        <v/>
      </c>
      <c r="K20" s="18">
        <f>VLOOKUP(B20,Real_Estate_Stats!$A$2:$G$215,7,FALSE)</f>
        <v>29084160</v>
      </c>
      <c r="L20" s="18">
        <f t="shared" si="1"/>
        <v>15870915840</v>
      </c>
      <c r="M20" s="4">
        <v>0.37</v>
      </c>
      <c r="N20" s="4">
        <v>0.05</v>
      </c>
      <c r="O20" s="29">
        <f t="shared" si="2"/>
        <v>793545792</v>
      </c>
      <c r="P20" s="29">
        <f t="shared" si="3"/>
        <v>1259596495</v>
      </c>
      <c r="Q20" s="29">
        <f t="shared" si="4"/>
        <v>466050703.2</v>
      </c>
      <c r="R20" s="4">
        <v>0.075</v>
      </c>
      <c r="S20" s="29">
        <f t="shared" si="5"/>
        <v>912577660.8</v>
      </c>
      <c r="T20" s="29">
        <f t="shared" si="6"/>
        <v>1448535970</v>
      </c>
      <c r="U20" s="29">
        <f t="shared" si="7"/>
        <v>535958308.7</v>
      </c>
      <c r="V20" s="4"/>
      <c r="W20" s="4"/>
    </row>
    <row r="21" ht="14.25" customHeight="1">
      <c r="A21" s="2">
        <v>19.0</v>
      </c>
      <c r="B21" s="2" t="s">
        <v>98</v>
      </c>
      <c r="C21" s="2" t="s">
        <v>99</v>
      </c>
      <c r="D21" s="3">
        <v>1.4E10</v>
      </c>
      <c r="E21" s="2" t="s">
        <v>100</v>
      </c>
      <c r="F21" s="4" t="str">
        <f>VLOOKUP(B21,Raw_Data_Collection!$B$2:$F$215,5,FALSE)</f>
        <v>N</v>
      </c>
      <c r="G21" s="3">
        <f>VLOOKUP(B21,Raw_Data_Collection!$B$2:$J$215,6,FALSE)</f>
        <v>70000000</v>
      </c>
      <c r="H21" s="5" t="s">
        <v>101</v>
      </c>
      <c r="I21" s="4">
        <v>2024.0</v>
      </c>
      <c r="J21" s="18">
        <f>VLOOKUP(B21,Raw_Data_Collection!$B$2:$J$215,9,FALSE)</f>
        <v>242000000</v>
      </c>
      <c r="K21" s="18">
        <f>VLOOKUP(B21,Real_Estate_Stats!$A$2:$G$215,7,FALSE)</f>
        <v>242000000</v>
      </c>
      <c r="L21" s="18">
        <f t="shared" si="1"/>
        <v>13758000000</v>
      </c>
      <c r="M21" s="4">
        <v>0.37</v>
      </c>
      <c r="N21" s="4">
        <v>0.05</v>
      </c>
      <c r="O21" s="29">
        <f t="shared" si="2"/>
        <v>687900000</v>
      </c>
      <c r="P21" s="29">
        <f t="shared" si="3"/>
        <v>1091904762</v>
      </c>
      <c r="Q21" s="29">
        <f t="shared" si="4"/>
        <v>404004761.9</v>
      </c>
      <c r="R21" s="4">
        <v>0.075</v>
      </c>
      <c r="S21" s="29">
        <f t="shared" si="5"/>
        <v>791085000</v>
      </c>
      <c r="T21" s="29">
        <f t="shared" si="6"/>
        <v>1255690476</v>
      </c>
      <c r="U21" s="29">
        <f t="shared" si="7"/>
        <v>464605476.2</v>
      </c>
      <c r="V21" s="4" t="s">
        <v>102</v>
      </c>
      <c r="W21" s="8" t="s">
        <v>103</v>
      </c>
    </row>
    <row r="22" ht="14.25" customHeight="1">
      <c r="A22" s="2">
        <v>20.0</v>
      </c>
      <c r="B22" s="2" t="s">
        <v>104</v>
      </c>
      <c r="C22" s="2" t="s">
        <v>105</v>
      </c>
      <c r="D22" s="3">
        <v>1.38E10</v>
      </c>
      <c r="E22" s="2" t="s">
        <v>106</v>
      </c>
      <c r="F22" s="4" t="str">
        <f>VLOOKUP(B22,Raw_Data_Collection!$B$2:$F$215,5,FALSE)</f>
        <v>N</v>
      </c>
      <c r="G22" s="3" t="str">
        <f>VLOOKUP(B22,Raw_Data_Collection!$B$2:$J$215,6,FALSE)</f>
        <v/>
      </c>
      <c r="J22" s="2" t="str">
        <f>VLOOKUP(B22,Raw_Data_Collection!$B$2:$J$215,9,FALSE)</f>
        <v/>
      </c>
      <c r="K22" s="18">
        <f>VLOOKUP(B22,Real_Estate_Stats!$A$2:$G$215,7,FALSE)</f>
        <v>87772928.57</v>
      </c>
      <c r="L22" s="18">
        <f t="shared" si="1"/>
        <v>13712227071</v>
      </c>
      <c r="M22" s="4">
        <v>0.37</v>
      </c>
      <c r="N22" s="4">
        <v>0.05</v>
      </c>
      <c r="O22" s="29">
        <f t="shared" si="2"/>
        <v>685611353.6</v>
      </c>
      <c r="P22" s="29">
        <f t="shared" si="3"/>
        <v>1088271990</v>
      </c>
      <c r="Q22" s="29">
        <f t="shared" si="4"/>
        <v>402660636.2</v>
      </c>
      <c r="R22" s="4">
        <v>0.075</v>
      </c>
      <c r="S22" s="29">
        <f t="shared" si="5"/>
        <v>788453056.6</v>
      </c>
      <c r="T22" s="29">
        <f t="shared" si="6"/>
        <v>1251512788</v>
      </c>
      <c r="U22" s="29">
        <f t="shared" si="7"/>
        <v>463059731.7</v>
      </c>
    </row>
    <row r="23" ht="14.25" customHeight="1">
      <c r="A23" s="2">
        <v>21.0</v>
      </c>
      <c r="B23" s="2" t="s">
        <v>107</v>
      </c>
      <c r="C23" s="2" t="s">
        <v>108</v>
      </c>
      <c r="D23" s="3">
        <v>1.31E10</v>
      </c>
      <c r="E23" s="4" t="s">
        <v>47</v>
      </c>
      <c r="F23" s="4" t="str">
        <f>VLOOKUP(B23,Raw_Data_Collection!$B$2:$F$215,5,FALSE)</f>
        <v>N</v>
      </c>
      <c r="G23" s="3">
        <f>VLOOKUP(B23,Raw_Data_Collection!$B$2:$J$215,6,FALSE)</f>
        <v>60000000</v>
      </c>
      <c r="H23" s="5" t="s">
        <v>109</v>
      </c>
      <c r="I23" s="4">
        <v>2025.0</v>
      </c>
      <c r="J23" s="18">
        <f>VLOOKUP(B23,Raw_Data_Collection!$B$2:$J$215,9,FALSE)</f>
        <v>100000000</v>
      </c>
      <c r="K23" s="18">
        <f>VLOOKUP(B23,Real_Estate_Stats!$A$2:$G$215,7,FALSE)</f>
        <v>100000000</v>
      </c>
      <c r="L23" s="18">
        <f t="shared" si="1"/>
        <v>13000000000</v>
      </c>
      <c r="M23" s="4">
        <v>0.37</v>
      </c>
      <c r="N23" s="4">
        <v>0.05</v>
      </c>
      <c r="O23" s="29">
        <f t="shared" si="2"/>
        <v>650000000</v>
      </c>
      <c r="P23" s="29">
        <f t="shared" si="3"/>
        <v>1031746032</v>
      </c>
      <c r="Q23" s="29">
        <f t="shared" si="4"/>
        <v>381746031.7</v>
      </c>
      <c r="R23" s="4">
        <v>0.075</v>
      </c>
      <c r="S23" s="29">
        <f t="shared" si="5"/>
        <v>747500000</v>
      </c>
      <c r="T23" s="29">
        <f t="shared" si="6"/>
        <v>1186507937</v>
      </c>
      <c r="U23" s="29">
        <f t="shared" si="7"/>
        <v>439007936.5</v>
      </c>
      <c r="V23" s="4">
        <v>2025.0</v>
      </c>
      <c r="W23" s="5" t="s">
        <v>109</v>
      </c>
      <c r="X23" s="4" t="s">
        <v>110</v>
      </c>
    </row>
    <row r="24" ht="14.25" customHeight="1">
      <c r="A24" s="2">
        <v>22.0</v>
      </c>
      <c r="B24" s="2" t="s">
        <v>111</v>
      </c>
      <c r="C24" s="2" t="s">
        <v>112</v>
      </c>
      <c r="D24" s="3">
        <v>1.25E10</v>
      </c>
      <c r="E24" s="2" t="s">
        <v>113</v>
      </c>
      <c r="F24" s="4" t="str">
        <f>VLOOKUP(B24,Raw_Data_Collection!$B$2:$F$215,5,FALSE)</f>
        <v>N</v>
      </c>
      <c r="G24" s="3">
        <f>VLOOKUP(B24,Raw_Data_Collection!$B$2:$J$215,6,FALSE)</f>
        <v>17100579</v>
      </c>
      <c r="J24" s="18">
        <f>VLOOKUP(B24,Raw_Data_Collection!$B$2:$J$215,9,FALSE)</f>
        <v>17100579</v>
      </c>
      <c r="K24" s="18">
        <f>VLOOKUP(B24,Real_Estate_Stats!$A$2:$G$215,7,FALSE)</f>
        <v>79504464.29</v>
      </c>
      <c r="L24" s="18">
        <f t="shared" si="1"/>
        <v>12420495536</v>
      </c>
      <c r="M24" s="4">
        <v>0.37</v>
      </c>
      <c r="N24" s="4">
        <v>0.05</v>
      </c>
      <c r="O24" s="29">
        <f t="shared" si="2"/>
        <v>621024776.8</v>
      </c>
      <c r="P24" s="29">
        <f t="shared" si="3"/>
        <v>985753613.9</v>
      </c>
      <c r="Q24" s="29">
        <f t="shared" si="4"/>
        <v>364728837.2</v>
      </c>
      <c r="R24" s="4">
        <v>0.075</v>
      </c>
      <c r="S24" s="29">
        <f t="shared" si="5"/>
        <v>714178493.3</v>
      </c>
      <c r="T24" s="29">
        <f t="shared" si="6"/>
        <v>1133616656</v>
      </c>
      <c r="U24" s="29">
        <f t="shared" si="7"/>
        <v>419438162.7</v>
      </c>
    </row>
    <row r="25" ht="14.25" customHeight="1">
      <c r="A25" s="2">
        <v>23.0</v>
      </c>
      <c r="B25" s="2" t="s">
        <v>116</v>
      </c>
      <c r="C25" s="2" t="s">
        <v>117</v>
      </c>
      <c r="D25" s="3">
        <v>1.16E10</v>
      </c>
      <c r="E25" s="4" t="s">
        <v>24</v>
      </c>
      <c r="F25" s="4" t="str">
        <f>VLOOKUP(B25,Raw_Data_Collection!$B$2:$F$215,5,FALSE)</f>
        <v>N</v>
      </c>
      <c r="G25" s="3">
        <f>VLOOKUP(B25,Raw_Data_Collection!$B$2:$J$215,6,FALSE)</f>
        <v>63300000</v>
      </c>
      <c r="H25" s="5" t="s">
        <v>118</v>
      </c>
      <c r="I25" s="4">
        <v>2020.0</v>
      </c>
      <c r="J25" s="18">
        <f>VLOOKUP(B25,Raw_Data_Collection!$B$2:$J$215,9,FALSE)</f>
        <v>86100000</v>
      </c>
      <c r="K25" s="18">
        <f>VLOOKUP(B25,Real_Estate_Stats!$A$2:$G$215,7,FALSE)</f>
        <v>86100000</v>
      </c>
      <c r="L25" s="18">
        <f t="shared" si="1"/>
        <v>11513900000</v>
      </c>
      <c r="M25" s="4">
        <v>0.37</v>
      </c>
      <c r="N25" s="4">
        <v>0.05</v>
      </c>
      <c r="O25" s="29">
        <f t="shared" si="2"/>
        <v>575695000</v>
      </c>
      <c r="P25" s="29">
        <f t="shared" si="3"/>
        <v>913801587.3</v>
      </c>
      <c r="Q25" s="29">
        <f t="shared" si="4"/>
        <v>338106587.3</v>
      </c>
      <c r="R25" s="4">
        <v>0.075</v>
      </c>
      <c r="S25" s="29">
        <f t="shared" si="5"/>
        <v>662049250</v>
      </c>
      <c r="T25" s="29">
        <f t="shared" si="6"/>
        <v>1050871825</v>
      </c>
      <c r="U25" s="29">
        <f t="shared" si="7"/>
        <v>388822575.4</v>
      </c>
      <c r="V25" s="4" t="s">
        <v>119</v>
      </c>
      <c r="W25" s="6" t="s">
        <v>118</v>
      </c>
    </row>
    <row r="26" ht="14.25" customHeight="1">
      <c r="A26" s="2">
        <v>24.0</v>
      </c>
      <c r="B26" s="2" t="s">
        <v>120</v>
      </c>
      <c r="C26" s="2" t="s">
        <v>121</v>
      </c>
      <c r="D26" s="3">
        <v>1.12E10</v>
      </c>
      <c r="E26" s="2" t="s">
        <v>100</v>
      </c>
      <c r="F26" s="4" t="str">
        <f>VLOOKUP(B26,Raw_Data_Collection!$B$2:$F$215,5,FALSE)</f>
        <v>N</v>
      </c>
      <c r="G26" s="3">
        <f>VLOOKUP(B26,Raw_Data_Collection!$B$2:$J$215,6,FALSE)</f>
        <v>800000</v>
      </c>
      <c r="H26" s="5" t="s">
        <v>122</v>
      </c>
      <c r="I26" s="4">
        <v>2011.0</v>
      </c>
      <c r="J26" s="2" t="str">
        <f>VLOOKUP(B26,Raw_Data_Collection!$B$2:$J$215,9,FALSE)</f>
        <v/>
      </c>
      <c r="K26" s="18">
        <f>VLOOKUP(B26,Real_Estate_Stats!$A$2:$G$215,7,FALSE)</f>
        <v>800000</v>
      </c>
      <c r="L26" s="18">
        <f t="shared" si="1"/>
        <v>11199200000</v>
      </c>
      <c r="M26" s="4">
        <v>0.37</v>
      </c>
      <c r="N26" s="4">
        <v>0.05</v>
      </c>
      <c r="O26" s="29">
        <f t="shared" si="2"/>
        <v>559960000</v>
      </c>
      <c r="P26" s="29">
        <f t="shared" si="3"/>
        <v>888825396.8</v>
      </c>
      <c r="Q26" s="29">
        <f t="shared" si="4"/>
        <v>328865396.8</v>
      </c>
      <c r="R26" s="4">
        <v>0.075</v>
      </c>
      <c r="S26" s="29">
        <f t="shared" si="5"/>
        <v>643954000</v>
      </c>
      <c r="T26" s="29">
        <f t="shared" si="6"/>
        <v>1022149206</v>
      </c>
      <c r="U26" s="29">
        <f t="shared" si="7"/>
        <v>378195206.3</v>
      </c>
      <c r="V26" s="4"/>
      <c r="W26" s="4"/>
      <c r="X26" s="4" t="s">
        <v>123</v>
      </c>
    </row>
    <row r="27" ht="14.25" customHeight="1">
      <c r="A27" s="2">
        <v>25.0</v>
      </c>
      <c r="B27" s="2" t="s">
        <v>124</v>
      </c>
      <c r="C27" s="2" t="s">
        <v>125</v>
      </c>
      <c r="D27" s="3">
        <v>1.07E10</v>
      </c>
      <c r="E27" s="4" t="s">
        <v>126</v>
      </c>
      <c r="F27" s="4" t="str">
        <f>VLOOKUP(B27,Raw_Data_Collection!$B$2:$F$215,5,FALSE)</f>
        <v>N</v>
      </c>
      <c r="G27" s="3">
        <f>VLOOKUP(B27,Raw_Data_Collection!$B$2:$J$215,6,FALSE)</f>
        <v>10000000</v>
      </c>
      <c r="H27" s="5" t="s">
        <v>127</v>
      </c>
      <c r="I27" s="4">
        <v>2026.0</v>
      </c>
      <c r="J27" s="18">
        <f>VLOOKUP(B27,Raw_Data_Collection!$B$2:$J$215,9,FALSE)</f>
        <v>80000000</v>
      </c>
      <c r="K27" s="18">
        <f>VLOOKUP(B27,Real_Estate_Stats!$A$2:$G$215,7,FALSE)</f>
        <v>80000000</v>
      </c>
      <c r="L27" s="18">
        <f t="shared" si="1"/>
        <v>10620000000</v>
      </c>
      <c r="M27" s="4">
        <v>0.37</v>
      </c>
      <c r="N27" s="4">
        <v>0.05</v>
      </c>
      <c r="O27" s="29">
        <f t="shared" si="2"/>
        <v>531000000</v>
      </c>
      <c r="P27" s="29">
        <f t="shared" si="3"/>
        <v>842857142.9</v>
      </c>
      <c r="Q27" s="29">
        <f t="shared" si="4"/>
        <v>311857142.9</v>
      </c>
      <c r="R27" s="4">
        <v>0.075</v>
      </c>
      <c r="S27" s="29">
        <f t="shared" si="5"/>
        <v>610650000</v>
      </c>
      <c r="T27" s="29">
        <f t="shared" si="6"/>
        <v>969285714.3</v>
      </c>
      <c r="U27" s="29">
        <f t="shared" si="7"/>
        <v>358635714.3</v>
      </c>
      <c r="V27" s="4" t="s">
        <v>128</v>
      </c>
      <c r="W27" s="5" t="s">
        <v>127</v>
      </c>
    </row>
    <row r="28" ht="14.25" customHeight="1">
      <c r="A28" s="2">
        <v>26.0</v>
      </c>
      <c r="B28" s="2" t="s">
        <v>129</v>
      </c>
      <c r="C28" s="2" t="s">
        <v>130</v>
      </c>
      <c r="D28" s="3">
        <v>1.02E10</v>
      </c>
      <c r="E28" s="2" t="s">
        <v>100</v>
      </c>
      <c r="F28" s="4" t="str">
        <f>VLOOKUP(B28,Raw_Data_Collection!$B$2:$F$215,5,FALSE)</f>
        <v>N</v>
      </c>
      <c r="G28" s="3">
        <f>VLOOKUP(B28,Raw_Data_Collection!$B$2:$J$215,6,FALSE)</f>
        <v>13500000</v>
      </c>
      <c r="H28" s="5" t="s">
        <v>131</v>
      </c>
      <c r="I28" s="4">
        <v>2025.0</v>
      </c>
      <c r="J28" s="18">
        <f>VLOOKUP(B28,Raw_Data_Collection!$B$2:$J$215,9,FALSE)</f>
        <v>13500000</v>
      </c>
      <c r="K28" s="18">
        <f>VLOOKUP(B28,Real_Estate_Stats!$A$2:$G$215,7,FALSE)</f>
        <v>13500000</v>
      </c>
      <c r="L28" s="18">
        <f t="shared" si="1"/>
        <v>10186500000</v>
      </c>
      <c r="M28" s="4">
        <v>0.37</v>
      </c>
      <c r="N28" s="4">
        <v>0.05</v>
      </c>
      <c r="O28" s="29">
        <f t="shared" si="2"/>
        <v>509325000</v>
      </c>
      <c r="P28" s="29">
        <f t="shared" si="3"/>
        <v>808452381</v>
      </c>
      <c r="Q28" s="29">
        <f t="shared" si="4"/>
        <v>299127381</v>
      </c>
      <c r="R28" s="4">
        <v>0.075</v>
      </c>
      <c r="S28" s="29">
        <f t="shared" si="5"/>
        <v>585723750</v>
      </c>
      <c r="T28" s="29">
        <f t="shared" si="6"/>
        <v>929720238.1</v>
      </c>
      <c r="U28" s="29">
        <f t="shared" si="7"/>
        <v>343996488.1</v>
      </c>
      <c r="V28" s="4">
        <v>2025.0</v>
      </c>
      <c r="W28" s="6" t="s">
        <v>132</v>
      </c>
    </row>
    <row r="29" ht="14.25" customHeight="1">
      <c r="A29" s="2">
        <v>27.0</v>
      </c>
      <c r="B29" s="2" t="s">
        <v>133</v>
      </c>
      <c r="C29" s="2" t="s">
        <v>134</v>
      </c>
      <c r="D29" s="3">
        <v>1.01E10</v>
      </c>
      <c r="E29" s="4" t="s">
        <v>47</v>
      </c>
      <c r="F29" s="4" t="str">
        <f>VLOOKUP(B29,Raw_Data_Collection!$B$2:$F$215,5,FALSE)</f>
        <v>N</v>
      </c>
      <c r="G29" s="3">
        <f>VLOOKUP(B29,Raw_Data_Collection!$B$2:$J$215,6,FALSE)</f>
        <v>133000000</v>
      </c>
      <c r="H29" s="5" t="s">
        <v>135</v>
      </c>
      <c r="I29" s="4">
        <v>2022.0</v>
      </c>
      <c r="J29" s="18">
        <f>VLOOKUP(B29,Raw_Data_Collection!$B$2:$J$215,9,FALSE)</f>
        <v>133000000</v>
      </c>
      <c r="K29" s="18">
        <f>VLOOKUP(B29,Real_Estate_Stats!$A$2:$G$215,7,FALSE)</f>
        <v>133000000</v>
      </c>
      <c r="L29" s="18">
        <f t="shared" si="1"/>
        <v>9967000000</v>
      </c>
      <c r="M29" s="4">
        <v>0.37</v>
      </c>
      <c r="N29" s="4">
        <v>0.05</v>
      </c>
      <c r="O29" s="29">
        <f t="shared" si="2"/>
        <v>498350000</v>
      </c>
      <c r="P29" s="29">
        <f t="shared" si="3"/>
        <v>791031746</v>
      </c>
      <c r="Q29" s="29">
        <f t="shared" si="4"/>
        <v>292681746</v>
      </c>
      <c r="R29" s="4">
        <v>0.075</v>
      </c>
      <c r="S29" s="29">
        <f t="shared" si="5"/>
        <v>573102500</v>
      </c>
      <c r="T29" s="29">
        <f t="shared" si="6"/>
        <v>909686507.9</v>
      </c>
      <c r="U29" s="29">
        <f t="shared" si="7"/>
        <v>336584007.9</v>
      </c>
      <c r="V29" s="4">
        <v>2022.0</v>
      </c>
      <c r="W29" s="5" t="s">
        <v>135</v>
      </c>
    </row>
    <row r="30" ht="14.25" customHeight="1">
      <c r="A30" s="2">
        <v>28.0</v>
      </c>
      <c r="B30" s="2" t="s">
        <v>136</v>
      </c>
      <c r="C30" s="2" t="s">
        <v>137</v>
      </c>
      <c r="D30" s="3">
        <v>1.0E10</v>
      </c>
      <c r="E30" s="2" t="s">
        <v>47</v>
      </c>
      <c r="F30" s="4" t="str">
        <f>VLOOKUP(B30,Raw_Data_Collection!$B$2:$F$215,5,FALSE)</f>
        <v>N</v>
      </c>
      <c r="G30" s="3" t="str">
        <f>VLOOKUP(B30,Raw_Data_Collection!$B$2:$J$215,6,FALSE)</f>
        <v/>
      </c>
      <c r="J30" s="2" t="str">
        <f>VLOOKUP(B30,Raw_Data_Collection!$B$2:$J$215,9,FALSE)</f>
        <v/>
      </c>
      <c r="K30" s="18">
        <f>VLOOKUP(B30,Real_Estate_Stats!$A$2:$G$215,7,FALSE)</f>
        <v>63603571.43</v>
      </c>
      <c r="L30" s="18">
        <f t="shared" si="1"/>
        <v>9936396429</v>
      </c>
      <c r="M30" s="4">
        <v>0.37</v>
      </c>
      <c r="N30" s="4">
        <v>0.05</v>
      </c>
      <c r="O30" s="29">
        <f t="shared" si="2"/>
        <v>496819821.4</v>
      </c>
      <c r="P30" s="29">
        <f t="shared" si="3"/>
        <v>788602891.2</v>
      </c>
      <c r="Q30" s="29">
        <f t="shared" si="4"/>
        <v>291783069.7</v>
      </c>
      <c r="R30" s="4">
        <v>0.075</v>
      </c>
      <c r="S30" s="29">
        <f t="shared" si="5"/>
        <v>571342794.6</v>
      </c>
      <c r="T30" s="29">
        <f t="shared" si="6"/>
        <v>906893324.8</v>
      </c>
      <c r="U30" s="29">
        <f t="shared" si="7"/>
        <v>335550530.2</v>
      </c>
    </row>
    <row r="31" ht="14.25" customHeight="1">
      <c r="A31" s="2">
        <v>29.0</v>
      </c>
      <c r="B31" s="2" t="s">
        <v>138</v>
      </c>
      <c r="C31" s="2" t="s">
        <v>137</v>
      </c>
      <c r="D31" s="3">
        <v>1.0E10</v>
      </c>
      <c r="E31" s="2" t="s">
        <v>80</v>
      </c>
      <c r="F31" s="4" t="str">
        <f>VLOOKUP(B31,Raw_Data_Collection!$B$2:$F$215,5,FALSE)</f>
        <v>N</v>
      </c>
      <c r="G31" s="3">
        <f>VLOOKUP(B31,Raw_Data_Collection!$B$2:$J$215,6,FALSE)</f>
        <v>100000000</v>
      </c>
      <c r="H31" s="5" t="s">
        <v>139</v>
      </c>
      <c r="I31" s="4">
        <v>2016.0</v>
      </c>
      <c r="J31" s="18">
        <f>VLOOKUP(B31,Raw_Data_Collection!$B$2:$J$215,9,FALSE)</f>
        <v>138000000</v>
      </c>
      <c r="K31" s="18">
        <f>VLOOKUP(B31,Real_Estate_Stats!$A$2:$G$215,7,FALSE)</f>
        <v>138000000</v>
      </c>
      <c r="L31" s="18">
        <f t="shared" si="1"/>
        <v>9862000000</v>
      </c>
      <c r="M31" s="4">
        <v>0.37</v>
      </c>
      <c r="N31" s="4">
        <v>0.05</v>
      </c>
      <c r="O31" s="29">
        <f t="shared" si="2"/>
        <v>493100000</v>
      </c>
      <c r="P31" s="29">
        <f t="shared" si="3"/>
        <v>782698412.7</v>
      </c>
      <c r="Q31" s="29">
        <f t="shared" si="4"/>
        <v>289598412.7</v>
      </c>
      <c r="R31" s="4">
        <v>0.075</v>
      </c>
      <c r="S31" s="29">
        <f t="shared" si="5"/>
        <v>567065000</v>
      </c>
      <c r="T31" s="29">
        <f t="shared" si="6"/>
        <v>900103174.6</v>
      </c>
      <c r="U31" s="29">
        <f t="shared" si="7"/>
        <v>333038174.6</v>
      </c>
      <c r="V31" s="4" t="s">
        <v>140</v>
      </c>
      <c r="W31" s="4" t="s">
        <v>141</v>
      </c>
    </row>
    <row r="32" ht="14.25" customHeight="1">
      <c r="A32" s="2">
        <v>30.0</v>
      </c>
      <c r="B32" s="2" t="s">
        <v>142</v>
      </c>
      <c r="C32" s="2" t="s">
        <v>143</v>
      </c>
      <c r="D32" s="3">
        <v>9.8E9</v>
      </c>
      <c r="F32" s="4" t="str">
        <f>VLOOKUP(B32,Raw_Data_Collection!$B$2:$F$215,5,FALSE)</f>
        <v>N</v>
      </c>
      <c r="G32" s="3" t="str">
        <f>VLOOKUP(B32,Raw_Data_Collection!$B$2:$J$215,6,FALSE)</f>
        <v/>
      </c>
      <c r="J32" s="2" t="str">
        <f>VLOOKUP(B32,Raw_Data_Collection!$B$2:$J$215,9,FALSE)</f>
        <v/>
      </c>
      <c r="K32" s="18">
        <f>VLOOKUP(B32,Real_Estate_Stats!$A$2:$G$215,7,FALSE)</f>
        <v>62331500</v>
      </c>
      <c r="L32" s="18">
        <f t="shared" si="1"/>
        <v>9737668500</v>
      </c>
      <c r="M32" s="4">
        <v>0.37</v>
      </c>
      <c r="N32" s="4">
        <v>0.05</v>
      </c>
      <c r="O32" s="29">
        <f t="shared" si="2"/>
        <v>486883425</v>
      </c>
      <c r="P32" s="29">
        <f t="shared" si="3"/>
        <v>772830833.3</v>
      </c>
      <c r="Q32" s="29">
        <f t="shared" si="4"/>
        <v>285947408.3</v>
      </c>
      <c r="R32" s="4">
        <v>0.075</v>
      </c>
      <c r="S32" s="29">
        <f t="shared" si="5"/>
        <v>559915938.8</v>
      </c>
      <c r="T32" s="29">
        <f t="shared" si="6"/>
        <v>888755458.3</v>
      </c>
      <c r="U32" s="29">
        <f t="shared" si="7"/>
        <v>328839519.6</v>
      </c>
    </row>
    <row r="33" ht="14.25" customHeight="1">
      <c r="A33" s="2">
        <v>31.0</v>
      </c>
      <c r="B33" s="2" t="s">
        <v>144</v>
      </c>
      <c r="C33" s="2" t="s">
        <v>145</v>
      </c>
      <c r="D33" s="3">
        <v>9.6E9</v>
      </c>
      <c r="E33" s="2" t="s">
        <v>100</v>
      </c>
      <c r="F33" s="4" t="str">
        <f>VLOOKUP(B33,Raw_Data_Collection!$B$2:$F$215,5,FALSE)</f>
        <v>N</v>
      </c>
      <c r="G33" s="3" t="str">
        <f>VLOOKUP(B33,Raw_Data_Collection!$B$2:$J$215,6,FALSE)</f>
        <v/>
      </c>
      <c r="J33" s="2" t="str">
        <f>VLOOKUP(B33,Raw_Data_Collection!$B$2:$J$215,9,FALSE)</f>
        <v/>
      </c>
      <c r="K33" s="18">
        <f>VLOOKUP(B33,Real_Estate_Stats!$A$2:$G$215,7,FALSE)</f>
        <v>61059428.57</v>
      </c>
      <c r="L33" s="18">
        <f t="shared" si="1"/>
        <v>9538940571</v>
      </c>
      <c r="M33" s="4">
        <v>0.37</v>
      </c>
      <c r="N33" s="4">
        <v>0.05</v>
      </c>
      <c r="O33" s="29">
        <f t="shared" si="2"/>
        <v>476947028.6</v>
      </c>
      <c r="P33" s="29">
        <f t="shared" si="3"/>
        <v>757058775.5</v>
      </c>
      <c r="Q33" s="29">
        <f t="shared" si="4"/>
        <v>280111746.9</v>
      </c>
      <c r="R33" s="4">
        <v>0.075</v>
      </c>
      <c r="S33" s="29">
        <f t="shared" si="5"/>
        <v>548489082.9</v>
      </c>
      <c r="T33" s="29">
        <f t="shared" si="6"/>
        <v>870617591.8</v>
      </c>
      <c r="U33" s="29">
        <f t="shared" si="7"/>
        <v>322128509</v>
      </c>
      <c r="Y33" s="5" t="s">
        <v>146</v>
      </c>
    </row>
    <row r="34" ht="14.25" customHeight="1">
      <c r="A34" s="2">
        <v>32.0</v>
      </c>
      <c r="B34" s="2" t="s">
        <v>147</v>
      </c>
      <c r="C34" s="2" t="s">
        <v>148</v>
      </c>
      <c r="D34" s="3">
        <v>9.3E9</v>
      </c>
      <c r="E34" s="2" t="s">
        <v>100</v>
      </c>
      <c r="F34" s="4" t="str">
        <f>VLOOKUP(B34,Raw_Data_Collection!$B$2:$F$215,5,FALSE)</f>
        <v>N</v>
      </c>
      <c r="G34" s="3">
        <f>VLOOKUP(B34,Raw_Data_Collection!$B$2:$J$215,6,FALSE)</f>
        <v>18000000</v>
      </c>
      <c r="H34" s="5" t="s">
        <v>149</v>
      </c>
      <c r="I34" s="4">
        <v>2009.0</v>
      </c>
      <c r="J34" s="2" t="str">
        <f>VLOOKUP(B34,Raw_Data_Collection!$B$2:$J$215,9,FALSE)</f>
        <v/>
      </c>
      <c r="K34" s="18">
        <f>VLOOKUP(B34,Real_Estate_Stats!$A$2:$G$215,7,FALSE)</f>
        <v>18000000</v>
      </c>
      <c r="L34" s="18">
        <f t="shared" si="1"/>
        <v>9282000000</v>
      </c>
      <c r="M34" s="4">
        <v>0.37</v>
      </c>
      <c r="N34" s="4">
        <v>0.05</v>
      </c>
      <c r="O34" s="29">
        <f t="shared" si="2"/>
        <v>464100000</v>
      </c>
      <c r="P34" s="29">
        <f t="shared" si="3"/>
        <v>736666666.7</v>
      </c>
      <c r="Q34" s="29">
        <f t="shared" si="4"/>
        <v>272566666.7</v>
      </c>
      <c r="R34" s="4">
        <v>0.075</v>
      </c>
      <c r="S34" s="29">
        <f t="shared" si="5"/>
        <v>533715000</v>
      </c>
      <c r="T34" s="29">
        <f t="shared" si="6"/>
        <v>847166666.7</v>
      </c>
      <c r="U34" s="29">
        <f t="shared" si="7"/>
        <v>313451666.7</v>
      </c>
      <c r="V34" s="4"/>
      <c r="W34" s="4"/>
    </row>
    <row r="35" ht="14.25" customHeight="1">
      <c r="A35" s="2">
        <v>33.0</v>
      </c>
      <c r="B35" s="2" t="s">
        <v>150</v>
      </c>
      <c r="C35" s="2" t="s">
        <v>151</v>
      </c>
      <c r="D35" s="3">
        <v>9.2E9</v>
      </c>
      <c r="E35" s="2" t="s">
        <v>80</v>
      </c>
      <c r="F35" s="4" t="str">
        <f>VLOOKUP(B35,Raw_Data_Collection!$B$2:$F$215,5,FALSE)</f>
        <v>N</v>
      </c>
      <c r="G35" s="3">
        <f>VLOOKUP(B35,Raw_Data_Collection!$B$2:$J$215,6,FALSE)</f>
        <v>68000000</v>
      </c>
      <c r="H35" s="5" t="s">
        <v>152</v>
      </c>
      <c r="I35" s="4">
        <v>2020.0</v>
      </c>
      <c r="J35" s="18">
        <f>VLOOKUP(B35,Raw_Data_Collection!$B$2:$J$215,9,FALSE)</f>
        <v>132000000</v>
      </c>
      <c r="K35" s="18">
        <f>VLOOKUP(B35,Real_Estate_Stats!$A$2:$G$215,7,FALSE)</f>
        <v>132000000</v>
      </c>
      <c r="L35" s="18">
        <f t="shared" si="1"/>
        <v>9068000000</v>
      </c>
      <c r="M35" s="4">
        <v>0.37</v>
      </c>
      <c r="N35" s="4">
        <v>0.05</v>
      </c>
      <c r="O35" s="29">
        <f t="shared" si="2"/>
        <v>453400000</v>
      </c>
      <c r="P35" s="29">
        <f t="shared" si="3"/>
        <v>719682539.7</v>
      </c>
      <c r="Q35" s="29">
        <f t="shared" si="4"/>
        <v>266282539.7</v>
      </c>
      <c r="R35" s="4">
        <v>0.075</v>
      </c>
      <c r="S35" s="29">
        <f t="shared" si="5"/>
        <v>521410000</v>
      </c>
      <c r="T35" s="29">
        <f t="shared" si="6"/>
        <v>827634920.6</v>
      </c>
      <c r="U35" s="29">
        <f t="shared" si="7"/>
        <v>306224920.6</v>
      </c>
      <c r="V35" s="4" t="s">
        <v>153</v>
      </c>
      <c r="W35" s="10" t="s">
        <v>705</v>
      </c>
    </row>
    <row r="36" ht="14.25" customHeight="1">
      <c r="A36" s="2">
        <v>34.0</v>
      </c>
      <c r="B36" s="2" t="s">
        <v>155</v>
      </c>
      <c r="C36" s="2" t="s">
        <v>156</v>
      </c>
      <c r="D36" s="3">
        <v>9.1E9</v>
      </c>
      <c r="E36" s="2" t="s">
        <v>100</v>
      </c>
      <c r="F36" s="4" t="str">
        <f>VLOOKUP(B36,Raw_Data_Collection!$B$2:$F$215,5,FALSE)</f>
        <v>N</v>
      </c>
      <c r="G36" s="3" t="str">
        <f>VLOOKUP(B36,Raw_Data_Collection!$B$2:$J$215,6,FALSE)</f>
        <v/>
      </c>
      <c r="J36" s="2" t="str">
        <f>VLOOKUP(B36,Raw_Data_Collection!$B$2:$J$215,9,FALSE)</f>
        <v/>
      </c>
      <c r="K36" s="18">
        <f>VLOOKUP(B36,Real_Estate_Stats!$A$2:$G$215,7,FALSE)</f>
        <v>57879250</v>
      </c>
      <c r="L36" s="18">
        <f t="shared" si="1"/>
        <v>9042120750</v>
      </c>
      <c r="M36" s="4">
        <v>0.37</v>
      </c>
      <c r="N36" s="4">
        <v>0.05</v>
      </c>
      <c r="O36" s="29">
        <f t="shared" si="2"/>
        <v>452106037.5</v>
      </c>
      <c r="P36" s="29">
        <f t="shared" si="3"/>
        <v>717628631</v>
      </c>
      <c r="Q36" s="29">
        <f t="shared" si="4"/>
        <v>265522593.5</v>
      </c>
      <c r="R36" s="4">
        <v>0.075</v>
      </c>
      <c r="S36" s="29">
        <f t="shared" si="5"/>
        <v>519921943.1</v>
      </c>
      <c r="T36" s="29">
        <f t="shared" si="6"/>
        <v>825272925.6</v>
      </c>
      <c r="U36" s="29">
        <f t="shared" si="7"/>
        <v>305350982.5</v>
      </c>
    </row>
    <row r="37" ht="14.25" customHeight="1">
      <c r="A37" s="2">
        <v>35.0</v>
      </c>
      <c r="B37" s="2" t="s">
        <v>157</v>
      </c>
      <c r="C37" s="2" t="s">
        <v>158</v>
      </c>
      <c r="D37" s="3">
        <v>8.6E9</v>
      </c>
      <c r="E37" s="2" t="s">
        <v>159</v>
      </c>
      <c r="F37" s="4" t="str">
        <f>VLOOKUP(B37,Raw_Data_Collection!$B$2:$F$215,5,FALSE)</f>
        <v>Y</v>
      </c>
      <c r="G37" s="3" t="str">
        <f>VLOOKUP(B37,Raw_Data_Collection!$B$2:$J$215,6,FALSE)</f>
        <v/>
      </c>
      <c r="J37" s="2" t="str">
        <f>VLOOKUP(B37,Raw_Data_Collection!$B$2:$J$215,9,FALSE)</f>
        <v/>
      </c>
      <c r="K37" s="18">
        <f>VLOOKUP(B37,Real_Estate_Stats!$A$2:$G$215,7,FALSE)</f>
        <v>54699071.43</v>
      </c>
      <c r="L37" s="18">
        <f t="shared" si="1"/>
        <v>8545300929</v>
      </c>
      <c r="M37" s="4">
        <v>0.37</v>
      </c>
      <c r="N37" s="4">
        <v>0.05</v>
      </c>
      <c r="O37" s="29">
        <f t="shared" si="2"/>
        <v>427265046.4</v>
      </c>
      <c r="P37" s="29">
        <f t="shared" si="3"/>
        <v>678198486.4</v>
      </c>
      <c r="Q37" s="29">
        <f t="shared" si="4"/>
        <v>250933440</v>
      </c>
      <c r="R37" s="4">
        <v>0.075</v>
      </c>
      <c r="S37" s="29">
        <f t="shared" si="5"/>
        <v>491354803.4</v>
      </c>
      <c r="T37" s="29">
        <f t="shared" si="6"/>
        <v>779928259.4</v>
      </c>
      <c r="U37" s="29">
        <f t="shared" si="7"/>
        <v>288573456</v>
      </c>
      <c r="X37" s="4" t="s">
        <v>160</v>
      </c>
      <c r="Y37" s="8" t="s">
        <v>161</v>
      </c>
    </row>
    <row r="38" ht="14.25" customHeight="1">
      <c r="A38" s="2">
        <v>36.0</v>
      </c>
      <c r="B38" s="2" t="s">
        <v>162</v>
      </c>
      <c r="C38" s="2" t="s">
        <v>158</v>
      </c>
      <c r="D38" s="3">
        <v>8.6E9</v>
      </c>
      <c r="E38" s="2" t="s">
        <v>163</v>
      </c>
      <c r="F38" s="4" t="str">
        <f>VLOOKUP(B38,Raw_Data_Collection!$B$2:$F$215,5,FALSE)</f>
        <v>N</v>
      </c>
      <c r="G38" s="3" t="str">
        <f>VLOOKUP(B38,Raw_Data_Collection!$B$2:$J$215,6,FALSE)</f>
        <v/>
      </c>
      <c r="J38" s="2" t="str">
        <f>VLOOKUP(B38,Raw_Data_Collection!$B$2:$J$215,9,FALSE)</f>
        <v/>
      </c>
      <c r="K38" s="18">
        <f>VLOOKUP(B38,Real_Estate_Stats!$A$2:$G$215,7,FALSE)</f>
        <v>54699071.43</v>
      </c>
      <c r="L38" s="18">
        <f t="shared" si="1"/>
        <v>8545300929</v>
      </c>
      <c r="M38" s="4">
        <v>0.37</v>
      </c>
      <c r="N38" s="4">
        <v>0.05</v>
      </c>
      <c r="O38" s="29">
        <f t="shared" si="2"/>
        <v>427265046.4</v>
      </c>
      <c r="P38" s="29">
        <f t="shared" si="3"/>
        <v>678198486.4</v>
      </c>
      <c r="Q38" s="29">
        <f t="shared" si="4"/>
        <v>250933440</v>
      </c>
      <c r="R38" s="4">
        <v>0.075</v>
      </c>
      <c r="S38" s="29">
        <f t="shared" si="5"/>
        <v>491354803.4</v>
      </c>
      <c r="T38" s="29">
        <f t="shared" si="6"/>
        <v>779928259.4</v>
      </c>
      <c r="U38" s="29">
        <f t="shared" si="7"/>
        <v>288573456</v>
      </c>
    </row>
    <row r="39" ht="14.25" customHeight="1">
      <c r="A39" s="2">
        <v>37.0</v>
      </c>
      <c r="B39" s="2" t="s">
        <v>164</v>
      </c>
      <c r="C39" s="2" t="s">
        <v>165</v>
      </c>
      <c r="D39" s="3">
        <v>8.1E9</v>
      </c>
      <c r="E39" s="2" t="s">
        <v>166</v>
      </c>
      <c r="F39" s="4" t="str">
        <f>VLOOKUP(B39,Raw_Data_Collection!$B$2:$F$215,5,FALSE)</f>
        <v>Y</v>
      </c>
      <c r="G39" s="3">
        <f>VLOOKUP(B39,Raw_Data_Collection!$B$2:$J$215,6,FALSE)</f>
        <v>10659988</v>
      </c>
      <c r="H39" s="5" t="s">
        <v>167</v>
      </c>
      <c r="I39" s="4">
        <v>2026.0</v>
      </c>
      <c r="J39" s="18">
        <f>VLOOKUP(B39,Raw_Data_Collection!$B$2:$J$215,9,FALSE)</f>
        <v>51300000</v>
      </c>
      <c r="K39" s="18">
        <f>VLOOKUP(B39,Real_Estate_Stats!$A$2:$G$215,7,FALSE)</f>
        <v>51300000</v>
      </c>
      <c r="L39" s="18">
        <f t="shared" si="1"/>
        <v>8048700000</v>
      </c>
      <c r="M39" s="4">
        <v>0.37</v>
      </c>
      <c r="N39" s="4">
        <v>0.05</v>
      </c>
      <c r="O39" s="29">
        <f t="shared" si="2"/>
        <v>402435000</v>
      </c>
      <c r="P39" s="29">
        <f t="shared" si="3"/>
        <v>638785714.3</v>
      </c>
      <c r="Q39" s="29">
        <f t="shared" si="4"/>
        <v>236350714.3</v>
      </c>
      <c r="R39" s="4">
        <v>0.075</v>
      </c>
      <c r="S39" s="29">
        <f t="shared" si="5"/>
        <v>462800250</v>
      </c>
      <c r="T39" s="29">
        <f t="shared" si="6"/>
        <v>734603571.4</v>
      </c>
      <c r="U39" s="29">
        <f t="shared" si="7"/>
        <v>271803321.4</v>
      </c>
      <c r="V39" s="4" t="s">
        <v>168</v>
      </c>
      <c r="W39" s="4" t="s">
        <v>169</v>
      </c>
      <c r="X39" s="7" t="s">
        <v>706</v>
      </c>
      <c r="Y39" s="5" t="s">
        <v>171</v>
      </c>
    </row>
    <row r="40" ht="14.25" customHeight="1">
      <c r="A40" s="2">
        <v>38.0</v>
      </c>
      <c r="B40" s="2" t="s">
        <v>172</v>
      </c>
      <c r="C40" s="2" t="s">
        <v>173</v>
      </c>
      <c r="D40" s="3">
        <v>7.8E9</v>
      </c>
      <c r="E40" s="2" t="s">
        <v>17</v>
      </c>
      <c r="F40" s="4" t="str">
        <f>VLOOKUP(B40,Raw_Data_Collection!$B$2:$F$215,5,FALSE)</f>
        <v>N</v>
      </c>
      <c r="G40" s="3">
        <f>VLOOKUP(B40,Raw_Data_Collection!$B$2:$J$215,6,FALSE)</f>
        <v>8683775</v>
      </c>
      <c r="H40" s="5" t="s">
        <v>174</v>
      </c>
      <c r="I40" s="4">
        <v>2026.0</v>
      </c>
      <c r="J40" s="18">
        <f>VLOOKUP(B40,Raw_Data_Collection!$B$2:$J$215,9,FALSE)</f>
        <v>8683775</v>
      </c>
      <c r="K40" s="18">
        <f>VLOOKUP(B40,Real_Estate_Stats!$A$2:$G$215,7,FALSE)</f>
        <v>8683775</v>
      </c>
      <c r="L40" s="18">
        <f t="shared" si="1"/>
        <v>7791316225</v>
      </c>
      <c r="M40" s="4">
        <v>0.37</v>
      </c>
      <c r="N40" s="4">
        <v>0.05</v>
      </c>
      <c r="O40" s="29">
        <f t="shared" si="2"/>
        <v>389565811.3</v>
      </c>
      <c r="P40" s="29">
        <f t="shared" si="3"/>
        <v>618358430.6</v>
      </c>
      <c r="Q40" s="29">
        <f t="shared" si="4"/>
        <v>228792619.3</v>
      </c>
      <c r="R40" s="4">
        <v>0.075</v>
      </c>
      <c r="S40" s="29">
        <f t="shared" si="5"/>
        <v>448000682.9</v>
      </c>
      <c r="T40" s="29">
        <f t="shared" si="6"/>
        <v>711112195.1</v>
      </c>
      <c r="U40" s="29">
        <f t="shared" si="7"/>
        <v>263111512.2</v>
      </c>
      <c r="V40" s="4">
        <v>2026.0</v>
      </c>
      <c r="W40" s="6" t="s">
        <v>174</v>
      </c>
      <c r="X40" s="7" t="s">
        <v>707</v>
      </c>
    </row>
    <row r="41" ht="14.25" customHeight="1">
      <c r="A41" s="2">
        <v>39.0</v>
      </c>
      <c r="B41" s="2" t="s">
        <v>176</v>
      </c>
      <c r="C41" s="2" t="s">
        <v>177</v>
      </c>
      <c r="D41" s="3">
        <v>7.7E9</v>
      </c>
      <c r="E41" s="2" t="s">
        <v>100</v>
      </c>
      <c r="F41" s="4" t="str">
        <f>VLOOKUP(B41,Raw_Data_Collection!$B$2:$F$215,5,FALSE)</f>
        <v>N</v>
      </c>
      <c r="G41" s="3">
        <f>VLOOKUP(B41,Raw_Data_Collection!$B$2:$J$215,6,FALSE)</f>
        <v>10600000</v>
      </c>
      <c r="H41" s="5" t="s">
        <v>178</v>
      </c>
      <c r="I41" s="4">
        <v>2002.0</v>
      </c>
      <c r="J41" s="18">
        <f>VLOOKUP(B41,Raw_Data_Collection!$B$2:$J$215,9,FALSE)</f>
        <v>10600000</v>
      </c>
      <c r="K41" s="18">
        <f>VLOOKUP(B41,Real_Estate_Stats!$A$2:$G$215,7,FALSE)</f>
        <v>10600000</v>
      </c>
      <c r="L41" s="18">
        <f t="shared" si="1"/>
        <v>7689400000</v>
      </c>
      <c r="M41" s="4">
        <v>0.37</v>
      </c>
      <c r="N41" s="4">
        <v>0.05</v>
      </c>
      <c r="O41" s="29">
        <f t="shared" si="2"/>
        <v>384470000</v>
      </c>
      <c r="P41" s="29">
        <f t="shared" si="3"/>
        <v>610269841.3</v>
      </c>
      <c r="Q41" s="29">
        <f t="shared" si="4"/>
        <v>225799841.3</v>
      </c>
      <c r="R41" s="4">
        <v>0.075</v>
      </c>
      <c r="S41" s="29">
        <f t="shared" si="5"/>
        <v>442140500</v>
      </c>
      <c r="T41" s="29">
        <f t="shared" si="6"/>
        <v>701810317.5</v>
      </c>
      <c r="U41" s="29">
        <f t="shared" si="7"/>
        <v>259669817.5</v>
      </c>
      <c r="V41" s="4">
        <v>2002.0</v>
      </c>
      <c r="W41" s="5" t="s">
        <v>178</v>
      </c>
      <c r="Y41" s="5" t="s">
        <v>179</v>
      </c>
    </row>
    <row r="42" ht="14.25" customHeight="1">
      <c r="A42" s="2">
        <v>40.0</v>
      </c>
      <c r="B42" s="2" t="s">
        <v>180</v>
      </c>
      <c r="C42" s="2" t="s">
        <v>181</v>
      </c>
      <c r="D42" s="3">
        <v>7.6E9</v>
      </c>
      <c r="E42" s="4" t="s">
        <v>47</v>
      </c>
      <c r="F42" s="4" t="str">
        <f>VLOOKUP(B42,Raw_Data_Collection!$B$2:$F$215,5,FALSE)</f>
        <v>N</v>
      </c>
      <c r="G42" s="3">
        <f>VLOOKUP(B42,Raw_Data_Collection!$B$2:$J$215,6,FALSE)</f>
        <v>8107000</v>
      </c>
      <c r="H42" s="5" t="s">
        <v>182</v>
      </c>
      <c r="I42" s="4">
        <v>2026.0</v>
      </c>
      <c r="J42" s="18">
        <f>VLOOKUP(B42,Raw_Data_Collection!$B$2:$J$215,9,FALSE)</f>
        <v>8107000</v>
      </c>
      <c r="K42" s="18">
        <f>VLOOKUP(B42,Real_Estate_Stats!$A$2:$G$215,7,FALSE)</f>
        <v>8107000</v>
      </c>
      <c r="L42" s="18">
        <f t="shared" si="1"/>
        <v>7591893000</v>
      </c>
      <c r="M42" s="4">
        <v>0.37</v>
      </c>
      <c r="N42" s="4">
        <v>0.05</v>
      </c>
      <c r="O42" s="29">
        <f t="shared" si="2"/>
        <v>379594650</v>
      </c>
      <c r="P42" s="29">
        <f t="shared" si="3"/>
        <v>602531190.5</v>
      </c>
      <c r="Q42" s="29">
        <f t="shared" si="4"/>
        <v>222936540.5</v>
      </c>
      <c r="R42" s="4">
        <v>0.075</v>
      </c>
      <c r="S42" s="29">
        <f t="shared" si="5"/>
        <v>436533847.5</v>
      </c>
      <c r="T42" s="29">
        <f t="shared" si="6"/>
        <v>692910869</v>
      </c>
      <c r="U42" s="29">
        <f t="shared" si="7"/>
        <v>256377021.5</v>
      </c>
      <c r="V42" s="4">
        <v>2026.0</v>
      </c>
      <c r="W42" s="5" t="s">
        <v>182</v>
      </c>
      <c r="X42" s="6" t="s">
        <v>708</v>
      </c>
    </row>
    <row r="43" ht="14.25" customHeight="1">
      <c r="A43" s="2">
        <v>41.0</v>
      </c>
      <c r="B43" s="2" t="s">
        <v>184</v>
      </c>
      <c r="C43" s="2" t="s">
        <v>185</v>
      </c>
      <c r="D43" s="3">
        <v>7.4E9</v>
      </c>
      <c r="E43" s="2" t="s">
        <v>47</v>
      </c>
      <c r="F43" s="4" t="str">
        <f>VLOOKUP(B43,Raw_Data_Collection!$B$2:$F$215,5,FALSE)</f>
        <v>N</v>
      </c>
      <c r="G43" s="3">
        <f>VLOOKUP(B43,Raw_Data_Collection!$B$2:$J$215,6,FALSE)</f>
        <v>102000000</v>
      </c>
      <c r="H43" s="5" t="s">
        <v>186</v>
      </c>
      <c r="I43" s="4">
        <v>2014.0</v>
      </c>
      <c r="J43" s="18">
        <f>VLOOKUP(B43,Raw_Data_Collection!$B$2:$J$215,9,FALSE)</f>
        <v>179750000</v>
      </c>
      <c r="K43" s="18">
        <f>VLOOKUP(B43,Real_Estate_Stats!$A$2:$G$215,7,FALSE)</f>
        <v>179750000</v>
      </c>
      <c r="L43" s="18">
        <f t="shared" si="1"/>
        <v>7220250000</v>
      </c>
      <c r="M43" s="4">
        <v>0.37</v>
      </c>
      <c r="N43" s="4">
        <v>0.05</v>
      </c>
      <c r="O43" s="29">
        <f t="shared" si="2"/>
        <v>361012500</v>
      </c>
      <c r="P43" s="29">
        <f t="shared" si="3"/>
        <v>573035714.3</v>
      </c>
      <c r="Q43" s="29">
        <f t="shared" si="4"/>
        <v>212023214.3</v>
      </c>
      <c r="R43" s="4">
        <v>0.075</v>
      </c>
      <c r="S43" s="29">
        <f t="shared" si="5"/>
        <v>415164375</v>
      </c>
      <c r="T43" s="29">
        <f t="shared" si="6"/>
        <v>658991071.4</v>
      </c>
      <c r="U43" s="29">
        <f t="shared" si="7"/>
        <v>243826696.4</v>
      </c>
      <c r="V43" s="4" t="s">
        <v>187</v>
      </c>
      <c r="W43" s="4" t="s">
        <v>188</v>
      </c>
    </row>
    <row r="44" ht="14.25" customHeight="1">
      <c r="A44" s="2">
        <v>42.0</v>
      </c>
      <c r="B44" s="2" t="s">
        <v>189</v>
      </c>
      <c r="C44" s="2" t="s">
        <v>190</v>
      </c>
      <c r="D44" s="3">
        <v>7.0E9</v>
      </c>
      <c r="E44" s="2" t="s">
        <v>191</v>
      </c>
      <c r="F44" s="4" t="str">
        <f>VLOOKUP(B44,Raw_Data_Collection!$B$2:$F$215,5,FALSE)</f>
        <v>N</v>
      </c>
      <c r="G44" s="3">
        <f>VLOOKUP(B44,Raw_Data_Collection!$B$2:$J$215,6,FALSE)</f>
        <v>250000000</v>
      </c>
      <c r="H44" s="5" t="s">
        <v>192</v>
      </c>
      <c r="I44" s="4">
        <v>2024.0</v>
      </c>
      <c r="J44" s="18">
        <f>VLOOKUP(B44,Raw_Data_Collection!$B$2:$J$215,9,FALSE)</f>
        <v>250000000</v>
      </c>
      <c r="K44" s="18">
        <f>VLOOKUP(B44,Real_Estate_Stats!$A$2:$G$215,7,FALSE)</f>
        <v>250000000</v>
      </c>
      <c r="L44" s="18">
        <f t="shared" si="1"/>
        <v>6750000000</v>
      </c>
      <c r="M44" s="4">
        <v>0.37</v>
      </c>
      <c r="N44" s="4">
        <v>0.05</v>
      </c>
      <c r="O44" s="29">
        <f t="shared" si="2"/>
        <v>337500000</v>
      </c>
      <c r="P44" s="29">
        <f t="shared" si="3"/>
        <v>535714285.7</v>
      </c>
      <c r="Q44" s="29">
        <f t="shared" si="4"/>
        <v>198214285.7</v>
      </c>
      <c r="R44" s="4">
        <v>0.075</v>
      </c>
      <c r="S44" s="29">
        <f t="shared" si="5"/>
        <v>388125000</v>
      </c>
      <c r="T44" s="29">
        <f t="shared" si="6"/>
        <v>616071428.6</v>
      </c>
      <c r="U44" s="29">
        <f t="shared" si="7"/>
        <v>227946428.6</v>
      </c>
      <c r="V44" s="4">
        <v>2024.0</v>
      </c>
      <c r="W44" s="5" t="s">
        <v>192</v>
      </c>
      <c r="X44" s="4" t="s">
        <v>193</v>
      </c>
    </row>
    <row r="45" ht="14.25" customHeight="1">
      <c r="A45" s="2">
        <v>43.0</v>
      </c>
      <c r="B45" s="2" t="s">
        <v>194</v>
      </c>
      <c r="C45" s="2" t="s">
        <v>195</v>
      </c>
      <c r="D45" s="3">
        <v>6.9E9</v>
      </c>
      <c r="E45" s="2" t="s">
        <v>47</v>
      </c>
      <c r="F45" s="4" t="str">
        <f>VLOOKUP(B45,Raw_Data_Collection!$B$2:$F$215,5,FALSE)</f>
        <v>N</v>
      </c>
      <c r="G45" s="3">
        <f>VLOOKUP(B45,Raw_Data_Collection!$B$2:$J$215,6,FALSE)</f>
        <v>13283376</v>
      </c>
      <c r="J45" s="18">
        <f>VLOOKUP(B45,Raw_Data_Collection!$B$2:$J$215,9,FALSE)</f>
        <v>13283376</v>
      </c>
      <c r="K45" s="18">
        <f>VLOOKUP(B45,Real_Estate_Stats!$A$2:$G$215,7,FALSE)</f>
        <v>43886464.29</v>
      </c>
      <c r="L45" s="18">
        <f t="shared" si="1"/>
        <v>6856113536</v>
      </c>
      <c r="M45" s="4">
        <v>0.37</v>
      </c>
      <c r="N45" s="4">
        <v>0.05</v>
      </c>
      <c r="O45" s="29">
        <f t="shared" si="2"/>
        <v>342805676.8</v>
      </c>
      <c r="P45" s="29">
        <f t="shared" si="3"/>
        <v>544135994.9</v>
      </c>
      <c r="Q45" s="29">
        <f t="shared" si="4"/>
        <v>201330318.1</v>
      </c>
      <c r="R45" s="4">
        <v>0.075</v>
      </c>
      <c r="S45" s="29">
        <f t="shared" si="5"/>
        <v>394226528.3</v>
      </c>
      <c r="T45" s="29">
        <f t="shared" si="6"/>
        <v>625756394.1</v>
      </c>
      <c r="U45" s="29">
        <f t="shared" si="7"/>
        <v>231529865.8</v>
      </c>
    </row>
    <row r="46" ht="14.25" customHeight="1">
      <c r="A46" s="2">
        <v>44.0</v>
      </c>
      <c r="B46" s="2" t="s">
        <v>198</v>
      </c>
      <c r="C46" s="2" t="s">
        <v>195</v>
      </c>
      <c r="D46" s="3">
        <v>6.9E9</v>
      </c>
      <c r="E46" s="2" t="s">
        <v>24</v>
      </c>
      <c r="F46" s="4" t="str">
        <f>VLOOKUP(B46,Raw_Data_Collection!$B$2:$F$215,5,FALSE)</f>
        <v>N</v>
      </c>
      <c r="G46" s="3">
        <f>VLOOKUP(B46,Raw_Data_Collection!$B$2:$J$215,6,FALSE)</f>
        <v>15830193</v>
      </c>
      <c r="H46" s="5" t="s">
        <v>199</v>
      </c>
      <c r="I46" s="4">
        <v>2026.0</v>
      </c>
      <c r="J46" s="18">
        <f>VLOOKUP(B46,Raw_Data_Collection!$B$2:$J$215,9,FALSE)</f>
        <v>15830193</v>
      </c>
      <c r="K46" s="18">
        <f>VLOOKUP(B46,Real_Estate_Stats!$A$2:$G$215,7,FALSE)</f>
        <v>15830193</v>
      </c>
      <c r="L46" s="18">
        <f t="shared" si="1"/>
        <v>6884169807</v>
      </c>
      <c r="M46" s="4">
        <v>0.37</v>
      </c>
      <c r="N46" s="4">
        <v>0.05</v>
      </c>
      <c r="O46" s="29">
        <f t="shared" si="2"/>
        <v>344208490.4</v>
      </c>
      <c r="P46" s="29">
        <f t="shared" si="3"/>
        <v>546362683.1</v>
      </c>
      <c r="Q46" s="29">
        <f t="shared" si="4"/>
        <v>202154192.7</v>
      </c>
      <c r="R46" s="4">
        <v>0.075</v>
      </c>
      <c r="S46" s="29">
        <f t="shared" si="5"/>
        <v>395839763.9</v>
      </c>
      <c r="T46" s="29">
        <f t="shared" si="6"/>
        <v>628317085.6</v>
      </c>
      <c r="U46" s="29">
        <f t="shared" si="7"/>
        <v>232477321.7</v>
      </c>
      <c r="V46" s="4">
        <v>2026.0</v>
      </c>
      <c r="W46" s="5" t="s">
        <v>199</v>
      </c>
      <c r="X46" s="7" t="s">
        <v>709</v>
      </c>
    </row>
    <row r="47" ht="14.25" customHeight="1">
      <c r="A47" s="2">
        <v>45.0</v>
      </c>
      <c r="B47" s="2" t="s">
        <v>201</v>
      </c>
      <c r="C47" s="2" t="s">
        <v>202</v>
      </c>
      <c r="D47" s="3">
        <v>6.7E9</v>
      </c>
      <c r="E47" s="2" t="s">
        <v>17</v>
      </c>
      <c r="F47" s="4" t="str">
        <f>VLOOKUP(B47,Raw_Data_Collection!$B$2:$F$215,5,FALSE)</f>
        <v>N</v>
      </c>
      <c r="G47" s="3" t="str">
        <f>VLOOKUP(B47,Raw_Data_Collection!$B$2:$J$215,6,FALSE)</f>
        <v/>
      </c>
      <c r="J47" s="2" t="str">
        <f>VLOOKUP(B47,Raw_Data_Collection!$B$2:$J$215,9,FALSE)</f>
        <v/>
      </c>
      <c r="K47" s="18">
        <f>VLOOKUP(B47,Real_Estate_Stats!$A$2:$G$215,7,FALSE)</f>
        <v>42614392.86</v>
      </c>
      <c r="L47" s="18">
        <f t="shared" si="1"/>
        <v>6657385607</v>
      </c>
      <c r="M47" s="4">
        <v>0.37</v>
      </c>
      <c r="N47" s="4">
        <v>0.05</v>
      </c>
      <c r="O47" s="29">
        <f t="shared" si="2"/>
        <v>332869280.4</v>
      </c>
      <c r="P47" s="29">
        <f t="shared" si="3"/>
        <v>528363937.1</v>
      </c>
      <c r="Q47" s="29">
        <f t="shared" si="4"/>
        <v>195494656.7</v>
      </c>
      <c r="R47" s="4">
        <v>0.075</v>
      </c>
      <c r="S47" s="29">
        <f t="shared" si="5"/>
        <v>382799672.4</v>
      </c>
      <c r="T47" s="29">
        <f t="shared" si="6"/>
        <v>607618527.6</v>
      </c>
      <c r="U47" s="29">
        <f t="shared" si="7"/>
        <v>224818855.2</v>
      </c>
    </row>
    <row r="48" ht="14.25" customHeight="1">
      <c r="A48" s="2">
        <v>46.0</v>
      </c>
      <c r="B48" s="2" t="s">
        <v>203</v>
      </c>
      <c r="C48" s="2" t="s">
        <v>204</v>
      </c>
      <c r="D48" s="3">
        <v>6.4E9</v>
      </c>
      <c r="E48" s="2" t="s">
        <v>17</v>
      </c>
      <c r="F48" s="4" t="str">
        <f>VLOOKUP(B48,Raw_Data_Collection!$B$2:$F$215,5,FALSE)</f>
        <v>N</v>
      </c>
      <c r="G48" s="3" t="str">
        <f>VLOOKUP(B48,Raw_Data_Collection!$B$2:$J$215,6,FALSE)</f>
        <v/>
      </c>
      <c r="J48" s="2" t="str">
        <f>VLOOKUP(B48,Raw_Data_Collection!$B$2:$J$215,9,FALSE)</f>
        <v/>
      </c>
      <c r="K48" s="18">
        <f>VLOOKUP(B48,Real_Estate_Stats!$A$2:$G$215,7,FALSE)</f>
        <v>40706285.71</v>
      </c>
      <c r="L48" s="18">
        <f t="shared" si="1"/>
        <v>6359293714</v>
      </c>
      <c r="M48" s="4">
        <v>0.37</v>
      </c>
      <c r="N48" s="4">
        <v>0.05</v>
      </c>
      <c r="O48" s="29">
        <f t="shared" si="2"/>
        <v>317964685.7</v>
      </c>
      <c r="P48" s="29">
        <f t="shared" si="3"/>
        <v>504705850.3</v>
      </c>
      <c r="Q48" s="29">
        <f t="shared" si="4"/>
        <v>186741164.6</v>
      </c>
      <c r="R48" s="4">
        <v>0.075</v>
      </c>
      <c r="S48" s="29">
        <f t="shared" si="5"/>
        <v>365659388.6</v>
      </c>
      <c r="T48" s="29">
        <f t="shared" si="6"/>
        <v>580411727.9</v>
      </c>
      <c r="U48" s="29">
        <f t="shared" si="7"/>
        <v>214752339.3</v>
      </c>
    </row>
    <row r="49" ht="14.25" customHeight="1">
      <c r="A49" s="2">
        <v>47.0</v>
      </c>
      <c r="B49" s="2" t="s">
        <v>205</v>
      </c>
      <c r="C49" s="2" t="s">
        <v>204</v>
      </c>
      <c r="D49" s="3">
        <v>6.4E9</v>
      </c>
      <c r="E49" s="2" t="s">
        <v>90</v>
      </c>
      <c r="F49" s="4" t="str">
        <f>VLOOKUP(B49,Raw_Data_Collection!$B$2:$F$215,5,FALSE)</f>
        <v>N</v>
      </c>
      <c r="G49" s="3" t="str">
        <f>VLOOKUP(B49,Raw_Data_Collection!$B$2:$J$215,6,FALSE)</f>
        <v/>
      </c>
      <c r="J49" s="2" t="str">
        <f>VLOOKUP(B49,Raw_Data_Collection!$B$2:$J$215,9,FALSE)</f>
        <v/>
      </c>
      <c r="K49" s="18">
        <f>VLOOKUP(B49,Real_Estate_Stats!$A$2:$G$215,7,FALSE)</f>
        <v>40706285.71</v>
      </c>
      <c r="L49" s="18">
        <f t="shared" si="1"/>
        <v>6359293714</v>
      </c>
      <c r="M49" s="4">
        <v>0.37</v>
      </c>
      <c r="N49" s="4">
        <v>0.05</v>
      </c>
      <c r="O49" s="29">
        <f t="shared" si="2"/>
        <v>317964685.7</v>
      </c>
      <c r="P49" s="29">
        <f t="shared" si="3"/>
        <v>504705850.3</v>
      </c>
      <c r="Q49" s="29">
        <f t="shared" si="4"/>
        <v>186741164.6</v>
      </c>
      <c r="R49" s="4">
        <v>0.075</v>
      </c>
      <c r="S49" s="29">
        <f t="shared" si="5"/>
        <v>365659388.6</v>
      </c>
      <c r="T49" s="29">
        <f t="shared" si="6"/>
        <v>580411727.9</v>
      </c>
      <c r="U49" s="29">
        <f t="shared" si="7"/>
        <v>214752339.3</v>
      </c>
      <c r="Y49" s="5" t="s">
        <v>179</v>
      </c>
    </row>
    <row r="50" ht="14.25" customHeight="1">
      <c r="A50" s="2">
        <v>48.0</v>
      </c>
      <c r="B50" s="2" t="s">
        <v>206</v>
      </c>
      <c r="C50" s="2" t="s">
        <v>207</v>
      </c>
      <c r="D50" s="3">
        <v>6.3E9</v>
      </c>
      <c r="E50" s="2" t="s">
        <v>17</v>
      </c>
      <c r="F50" s="4" t="str">
        <f>VLOOKUP(B50,Raw_Data_Collection!$B$2:$F$215,5,FALSE)</f>
        <v>N</v>
      </c>
      <c r="G50" s="3">
        <f>VLOOKUP(B50,Raw_Data_Collection!$B$2:$J$215,6,FALSE)</f>
        <v>1031715</v>
      </c>
      <c r="H50" s="5" t="s">
        <v>208</v>
      </c>
      <c r="I50" s="4">
        <v>2026.0</v>
      </c>
      <c r="J50" s="2" t="str">
        <f>VLOOKUP(B50,Raw_Data_Collection!$B$2:$J$215,9,FALSE)</f>
        <v/>
      </c>
      <c r="K50" s="18">
        <f>VLOOKUP(B50,Real_Estate_Stats!$A$2:$G$215,7,FALSE)</f>
        <v>1031715</v>
      </c>
      <c r="L50" s="18">
        <f t="shared" si="1"/>
        <v>6298968285</v>
      </c>
      <c r="M50" s="4">
        <v>0.37</v>
      </c>
      <c r="N50" s="4">
        <v>0.05</v>
      </c>
      <c r="O50" s="29">
        <f t="shared" si="2"/>
        <v>314948414.3</v>
      </c>
      <c r="P50" s="29">
        <f t="shared" si="3"/>
        <v>499918117.9</v>
      </c>
      <c r="Q50" s="29">
        <f t="shared" si="4"/>
        <v>184969703.6</v>
      </c>
      <c r="R50" s="4">
        <v>0.075</v>
      </c>
      <c r="S50" s="29">
        <f t="shared" si="5"/>
        <v>362190676.4</v>
      </c>
      <c r="T50" s="29">
        <f t="shared" si="6"/>
        <v>574905835.5</v>
      </c>
      <c r="U50" s="29">
        <f t="shared" si="7"/>
        <v>212715159.1</v>
      </c>
      <c r="V50" s="4"/>
      <c r="W50" s="12"/>
      <c r="X50" s="7" t="s">
        <v>710</v>
      </c>
    </row>
    <row r="51" ht="14.25" customHeight="1">
      <c r="A51" s="2">
        <v>49.0</v>
      </c>
      <c r="B51" s="2" t="s">
        <v>210</v>
      </c>
      <c r="C51" s="2" t="s">
        <v>211</v>
      </c>
      <c r="D51" s="3">
        <v>5.9E9</v>
      </c>
      <c r="E51" s="2" t="s">
        <v>47</v>
      </c>
      <c r="F51" s="4" t="str">
        <f>VLOOKUP(B51,Raw_Data_Collection!$B$2:$F$215,5,FALSE)</f>
        <v>N</v>
      </c>
      <c r="G51" s="3">
        <f>VLOOKUP(B51,Raw_Data_Collection!$B$2:$J$215,6,FALSE)</f>
        <v>80000000</v>
      </c>
      <c r="H51" s="5" t="s">
        <v>212</v>
      </c>
      <c r="I51" s="4">
        <v>2025.0</v>
      </c>
      <c r="J51" s="18">
        <f>VLOOKUP(B51,Raw_Data_Collection!$B$2:$J$215,9,FALSE)</f>
        <v>86500000</v>
      </c>
      <c r="K51" s="18">
        <f>VLOOKUP(B51,Real_Estate_Stats!$A$2:$G$215,7,FALSE)</f>
        <v>86500000</v>
      </c>
      <c r="L51" s="18">
        <f t="shared" si="1"/>
        <v>5813500000</v>
      </c>
      <c r="M51" s="4">
        <v>0.37</v>
      </c>
      <c r="N51" s="4">
        <v>0.05</v>
      </c>
      <c r="O51" s="29">
        <f t="shared" si="2"/>
        <v>290675000</v>
      </c>
      <c r="P51" s="29">
        <f t="shared" si="3"/>
        <v>461388888.9</v>
      </c>
      <c r="Q51" s="29">
        <f t="shared" si="4"/>
        <v>170713888.9</v>
      </c>
      <c r="R51" s="4">
        <v>0.075</v>
      </c>
      <c r="S51" s="29">
        <f t="shared" si="5"/>
        <v>334276250</v>
      </c>
      <c r="T51" s="29">
        <f t="shared" si="6"/>
        <v>530597222.2</v>
      </c>
      <c r="U51" s="29">
        <f t="shared" si="7"/>
        <v>196320972.2</v>
      </c>
      <c r="V51" s="4" t="s">
        <v>213</v>
      </c>
      <c r="W51" s="6" t="s">
        <v>214</v>
      </c>
      <c r="X51" s="4" t="s">
        <v>215</v>
      </c>
    </row>
    <row r="52" ht="14.25" customHeight="1">
      <c r="A52" s="2">
        <v>50.0</v>
      </c>
      <c r="B52" s="2" t="s">
        <v>216</v>
      </c>
      <c r="C52" s="2" t="s">
        <v>217</v>
      </c>
      <c r="D52" s="3">
        <v>5.7E9</v>
      </c>
      <c r="E52" s="2" t="s">
        <v>218</v>
      </c>
      <c r="F52" s="4" t="str">
        <f>VLOOKUP(B52,Raw_Data_Collection!$B$2:$F$215,5,FALSE)</f>
        <v>N</v>
      </c>
      <c r="G52" s="3">
        <f>VLOOKUP(B52,Raw_Data_Collection!$B$2:$J$215,6,FALSE)</f>
        <v>18104324</v>
      </c>
      <c r="J52" s="18">
        <f>VLOOKUP(B52,Raw_Data_Collection!$B$2:$J$215,9,FALSE)</f>
        <v>14340561</v>
      </c>
      <c r="K52" s="18">
        <f>VLOOKUP(B52,Real_Estate_Stats!$A$2:$G$215,7,FALSE)</f>
        <v>14340561</v>
      </c>
      <c r="L52" s="18">
        <f t="shared" si="1"/>
        <v>5685659439</v>
      </c>
      <c r="M52" s="4">
        <v>0.37</v>
      </c>
      <c r="N52" s="4">
        <v>0.05</v>
      </c>
      <c r="O52" s="29">
        <f t="shared" si="2"/>
        <v>284282972</v>
      </c>
      <c r="P52" s="29">
        <f t="shared" si="3"/>
        <v>451242812.6</v>
      </c>
      <c r="Q52" s="29">
        <f t="shared" si="4"/>
        <v>166959840.7</v>
      </c>
      <c r="R52" s="4">
        <v>0.075</v>
      </c>
      <c r="S52" s="29">
        <f t="shared" si="5"/>
        <v>326925417.7</v>
      </c>
      <c r="T52" s="29">
        <f t="shared" si="6"/>
        <v>518929234.5</v>
      </c>
      <c r="U52" s="29">
        <f t="shared" si="7"/>
        <v>192003816.8</v>
      </c>
      <c r="V52" s="4" t="s">
        <v>220</v>
      </c>
      <c r="W52" s="4" t="s">
        <v>221</v>
      </c>
    </row>
    <row r="53" ht="14.25" customHeight="1">
      <c r="A53" s="2">
        <v>51.0</v>
      </c>
      <c r="B53" s="2" t="s">
        <v>222</v>
      </c>
      <c r="C53" s="2" t="s">
        <v>223</v>
      </c>
      <c r="D53" s="3">
        <v>5.6E9</v>
      </c>
      <c r="E53" s="2" t="s">
        <v>224</v>
      </c>
      <c r="F53" s="4" t="str">
        <f>VLOOKUP(B53,Raw_Data_Collection!$B$2:$F$215,5,FALSE)</f>
        <v>N</v>
      </c>
      <c r="G53" s="3">
        <f>VLOOKUP(B53,Raw_Data_Collection!$B$2:$J$215,6,FALSE)</f>
        <v>877000</v>
      </c>
      <c r="H53" s="5" t="s">
        <v>225</v>
      </c>
      <c r="I53" s="4">
        <v>2026.0</v>
      </c>
      <c r="J53" s="18">
        <f>VLOOKUP(B53,Raw_Data_Collection!$B$2:$J$215,9,FALSE)</f>
        <v>7862000</v>
      </c>
      <c r="K53" s="18">
        <f>VLOOKUP(B53,Real_Estate_Stats!$A$2:$G$215,7,FALSE)</f>
        <v>7862000</v>
      </c>
      <c r="L53" s="18">
        <f t="shared" si="1"/>
        <v>5592138000</v>
      </c>
      <c r="M53" s="4">
        <v>0.37</v>
      </c>
      <c r="N53" s="4">
        <v>0.05</v>
      </c>
      <c r="O53" s="29">
        <f t="shared" si="2"/>
        <v>279606900</v>
      </c>
      <c r="P53" s="29">
        <f t="shared" si="3"/>
        <v>443820476.2</v>
      </c>
      <c r="Q53" s="29">
        <f t="shared" si="4"/>
        <v>164213576.2</v>
      </c>
      <c r="R53" s="4">
        <v>0.075</v>
      </c>
      <c r="S53" s="29">
        <f t="shared" si="5"/>
        <v>321547935</v>
      </c>
      <c r="T53" s="29">
        <f t="shared" si="6"/>
        <v>510393547.6</v>
      </c>
      <c r="U53" s="29">
        <f t="shared" si="7"/>
        <v>188845612.6</v>
      </c>
      <c r="V53" s="4">
        <v>2026.0</v>
      </c>
      <c r="W53" s="4" t="s">
        <v>226</v>
      </c>
      <c r="X53" s="10" t="s">
        <v>711</v>
      </c>
    </row>
    <row r="54" ht="14.25" customHeight="1">
      <c r="A54" s="2">
        <v>52.0</v>
      </c>
      <c r="B54" s="2" t="s">
        <v>228</v>
      </c>
      <c r="C54" s="2" t="s">
        <v>223</v>
      </c>
      <c r="D54" s="3">
        <v>5.6E9</v>
      </c>
      <c r="E54" s="2" t="s">
        <v>229</v>
      </c>
      <c r="F54" s="4" t="str">
        <f>VLOOKUP(B54,Raw_Data_Collection!$B$2:$F$215,5,FALSE)</f>
        <v>N</v>
      </c>
      <c r="G54" s="3">
        <f>VLOOKUP(B54,Raw_Data_Collection!$B$2:$J$215,6,FALSE)</f>
        <v>4101800</v>
      </c>
      <c r="J54" s="18">
        <f>VLOOKUP(B54,Raw_Data_Collection!$B$2:$J$215,9,FALSE)</f>
        <v>4101800</v>
      </c>
      <c r="K54" s="18">
        <f>VLOOKUP(B54,Real_Estate_Stats!$A$2:$G$215,7,FALSE)</f>
        <v>35618000</v>
      </c>
      <c r="L54" s="18">
        <f t="shared" si="1"/>
        <v>5564382000</v>
      </c>
      <c r="M54" s="4">
        <v>0.37</v>
      </c>
      <c r="N54" s="4">
        <v>0.05</v>
      </c>
      <c r="O54" s="29">
        <f t="shared" si="2"/>
        <v>278219100</v>
      </c>
      <c r="P54" s="29">
        <f t="shared" si="3"/>
        <v>441617619</v>
      </c>
      <c r="Q54" s="29">
        <f t="shared" si="4"/>
        <v>163398519</v>
      </c>
      <c r="R54" s="4">
        <v>0.075</v>
      </c>
      <c r="S54" s="29">
        <f t="shared" si="5"/>
        <v>319951965</v>
      </c>
      <c r="T54" s="29">
        <f t="shared" si="6"/>
        <v>507860261.9</v>
      </c>
      <c r="U54" s="29">
        <f t="shared" si="7"/>
        <v>187908296.9</v>
      </c>
    </row>
    <row r="55" ht="14.25" customHeight="1">
      <c r="A55" s="2">
        <v>53.0</v>
      </c>
      <c r="B55" s="2" t="s">
        <v>232</v>
      </c>
      <c r="C55" s="2" t="s">
        <v>233</v>
      </c>
      <c r="D55" s="3">
        <v>5.5E9</v>
      </c>
      <c r="E55" s="2" t="s">
        <v>17</v>
      </c>
      <c r="F55" s="4" t="str">
        <f>VLOOKUP(B55,Raw_Data_Collection!$B$2:$F$215,5,FALSE)</f>
        <v>N</v>
      </c>
      <c r="G55" s="3">
        <f>VLOOKUP(B55,Raw_Data_Collection!$B$2:$J$215,6,FALSE)</f>
        <v>13169940</v>
      </c>
      <c r="J55" s="18">
        <f>VLOOKUP(B55,Raw_Data_Collection!$B$2:$J$215,9,FALSE)</f>
        <v>13169940</v>
      </c>
      <c r="K55" s="18">
        <f>VLOOKUP(B55,Real_Estate_Stats!$A$2:$G$215,7,FALSE)</f>
        <v>34981964.29</v>
      </c>
      <c r="L55" s="18">
        <f t="shared" si="1"/>
        <v>5465018036</v>
      </c>
      <c r="M55" s="4">
        <v>0.37</v>
      </c>
      <c r="N55" s="4">
        <v>0.05</v>
      </c>
      <c r="O55" s="29">
        <f t="shared" si="2"/>
        <v>273250901.8</v>
      </c>
      <c r="P55" s="29">
        <f t="shared" si="3"/>
        <v>433731590.1</v>
      </c>
      <c r="Q55" s="29">
        <f t="shared" si="4"/>
        <v>160480688.4</v>
      </c>
      <c r="R55" s="4">
        <v>0.075</v>
      </c>
      <c r="S55" s="29">
        <f t="shared" si="5"/>
        <v>314238537.1</v>
      </c>
      <c r="T55" s="29">
        <f t="shared" si="6"/>
        <v>498791328.7</v>
      </c>
      <c r="U55" s="29">
        <f t="shared" si="7"/>
        <v>184552791.6</v>
      </c>
    </row>
    <row r="56" ht="14.25" customHeight="1">
      <c r="A56" s="2">
        <v>54.0</v>
      </c>
      <c r="B56" s="2" t="s">
        <v>236</v>
      </c>
      <c r="C56" s="2" t="s">
        <v>237</v>
      </c>
      <c r="D56" s="3">
        <v>5.4E9</v>
      </c>
      <c r="E56" s="2" t="s">
        <v>238</v>
      </c>
      <c r="F56" s="4" t="str">
        <f>VLOOKUP(B56,Raw_Data_Collection!$B$2:$F$215,5,FALSE)</f>
        <v>N</v>
      </c>
      <c r="G56" s="3" t="str">
        <f>VLOOKUP(B56,Raw_Data_Collection!$B$2:$J$215,6,FALSE)</f>
        <v/>
      </c>
      <c r="J56" s="2" t="str">
        <f>VLOOKUP(B56,Raw_Data_Collection!$B$2:$J$215,9,FALSE)</f>
        <v/>
      </c>
      <c r="K56" s="18">
        <f>VLOOKUP(B56,Real_Estate_Stats!$A$2:$G$215,7,FALSE)</f>
        <v>34345928.57</v>
      </c>
      <c r="L56" s="18">
        <f t="shared" si="1"/>
        <v>5365654071</v>
      </c>
      <c r="M56" s="4">
        <v>0.37</v>
      </c>
      <c r="N56" s="4">
        <v>0.05</v>
      </c>
      <c r="O56" s="29">
        <f t="shared" si="2"/>
        <v>268282703.6</v>
      </c>
      <c r="P56" s="29">
        <f t="shared" si="3"/>
        <v>425845561.2</v>
      </c>
      <c r="Q56" s="29">
        <f t="shared" si="4"/>
        <v>157562857.7</v>
      </c>
      <c r="R56" s="4">
        <v>0.075</v>
      </c>
      <c r="S56" s="29">
        <f t="shared" si="5"/>
        <v>308525109.1</v>
      </c>
      <c r="T56" s="29">
        <f t="shared" si="6"/>
        <v>489722395.4</v>
      </c>
      <c r="U56" s="29">
        <f t="shared" si="7"/>
        <v>181197286.3</v>
      </c>
    </row>
    <row r="57" ht="14.25" customHeight="1">
      <c r="A57" s="2">
        <v>55.0</v>
      </c>
      <c r="B57" s="2" t="s">
        <v>239</v>
      </c>
      <c r="C57" s="2" t="s">
        <v>237</v>
      </c>
      <c r="D57" s="3">
        <v>5.4E9</v>
      </c>
      <c r="E57" s="2" t="s">
        <v>100</v>
      </c>
      <c r="F57" s="4" t="str">
        <f>VLOOKUP(B57,Raw_Data_Collection!$B$2:$F$215,5,FALSE)</f>
        <v>N</v>
      </c>
      <c r="G57" s="3">
        <f>VLOOKUP(B57,Raw_Data_Collection!$B$2:$J$215,6,FALSE)</f>
        <v>29608760</v>
      </c>
      <c r="H57" s="13" t="s">
        <v>240</v>
      </c>
      <c r="I57" s="4">
        <v>2026.0</v>
      </c>
      <c r="J57" s="18">
        <f>VLOOKUP(B57,Raw_Data_Collection!$B$2:$J$215,9,FALSE)</f>
        <v>29608760</v>
      </c>
      <c r="K57" s="18">
        <f>VLOOKUP(B57,Real_Estate_Stats!$A$2:$G$215,7,FALSE)</f>
        <v>29608760</v>
      </c>
      <c r="L57" s="18">
        <f t="shared" si="1"/>
        <v>5370391240</v>
      </c>
      <c r="M57" s="4">
        <v>0.37</v>
      </c>
      <c r="N57" s="4">
        <v>0.05</v>
      </c>
      <c r="O57" s="29">
        <f t="shared" si="2"/>
        <v>268519562</v>
      </c>
      <c r="P57" s="29">
        <f t="shared" si="3"/>
        <v>426221527</v>
      </c>
      <c r="Q57" s="29">
        <f t="shared" si="4"/>
        <v>157701965</v>
      </c>
      <c r="R57" s="4">
        <v>0.075</v>
      </c>
      <c r="S57" s="29">
        <f t="shared" si="5"/>
        <v>308797496.3</v>
      </c>
      <c r="T57" s="29">
        <f t="shared" si="6"/>
        <v>490154756</v>
      </c>
      <c r="U57" s="29">
        <f t="shared" si="7"/>
        <v>181357259.7</v>
      </c>
      <c r="V57" s="4">
        <v>2026.0</v>
      </c>
      <c r="W57" s="8" t="s">
        <v>240</v>
      </c>
      <c r="X57" s="7" t="s">
        <v>712</v>
      </c>
    </row>
    <row r="58" ht="14.25" customHeight="1">
      <c r="A58" s="2">
        <v>56.0</v>
      </c>
      <c r="B58" s="2" t="s">
        <v>242</v>
      </c>
      <c r="C58" s="2" t="s">
        <v>237</v>
      </c>
      <c r="D58" s="3">
        <v>5.4E9</v>
      </c>
      <c r="E58" s="2" t="s">
        <v>47</v>
      </c>
      <c r="F58" s="4" t="str">
        <f>VLOOKUP(B58,Raw_Data_Collection!$B$2:$F$215,5,FALSE)</f>
        <v>N</v>
      </c>
      <c r="G58" s="3">
        <f>VLOOKUP(B58,Raw_Data_Collection!$B$2:$J$215,6,FALSE)</f>
        <v>30000000</v>
      </c>
      <c r="H58" s="5" t="s">
        <v>243</v>
      </c>
      <c r="I58" s="4">
        <v>2014.0</v>
      </c>
      <c r="J58" s="18">
        <f>VLOOKUP(B58,Raw_Data_Collection!$B$2:$J$215,9,FALSE)</f>
        <v>162500000</v>
      </c>
      <c r="K58" s="18">
        <f>VLOOKUP(B58,Real_Estate_Stats!$A$2:$G$215,7,FALSE)</f>
        <v>162500000</v>
      </c>
      <c r="L58" s="18">
        <f t="shared" si="1"/>
        <v>5237500000</v>
      </c>
      <c r="M58" s="4">
        <v>0.37</v>
      </c>
      <c r="N58" s="4">
        <v>0.05</v>
      </c>
      <c r="O58" s="29">
        <f t="shared" si="2"/>
        <v>261875000</v>
      </c>
      <c r="P58" s="29">
        <f t="shared" si="3"/>
        <v>415674603.2</v>
      </c>
      <c r="Q58" s="29">
        <f t="shared" si="4"/>
        <v>153799603.2</v>
      </c>
      <c r="R58" s="4">
        <v>0.075</v>
      </c>
      <c r="S58" s="29">
        <f t="shared" si="5"/>
        <v>301156250</v>
      </c>
      <c r="T58" s="29">
        <f t="shared" si="6"/>
        <v>478025793.7</v>
      </c>
      <c r="U58" s="29">
        <f t="shared" si="7"/>
        <v>176869543.7</v>
      </c>
      <c r="V58" s="4" t="s">
        <v>244</v>
      </c>
      <c r="W58" s="4" t="s">
        <v>245</v>
      </c>
      <c r="X58" s="7" t="s">
        <v>713</v>
      </c>
    </row>
    <row r="59" ht="14.25" customHeight="1">
      <c r="A59" s="2">
        <v>57.0</v>
      </c>
      <c r="B59" s="2" t="s">
        <v>247</v>
      </c>
      <c r="C59" s="2" t="s">
        <v>237</v>
      </c>
      <c r="D59" s="3">
        <v>5.4E9</v>
      </c>
      <c r="E59" s="2" t="s">
        <v>47</v>
      </c>
      <c r="F59" s="4" t="str">
        <f>VLOOKUP(B59,Raw_Data_Collection!$B$2:$F$215,5,FALSE)</f>
        <v>N</v>
      </c>
      <c r="G59" s="3" t="str">
        <f>VLOOKUP(B59,Raw_Data_Collection!$B$2:$J$215,6,FALSE)</f>
        <v/>
      </c>
      <c r="J59" s="2" t="str">
        <f>VLOOKUP(B59,Raw_Data_Collection!$B$2:$J$215,9,FALSE)</f>
        <v/>
      </c>
      <c r="K59" s="18">
        <f>VLOOKUP(B59,Real_Estate_Stats!$A$2:$G$215,7,FALSE)</f>
        <v>34345928.57</v>
      </c>
      <c r="L59" s="18">
        <f t="shared" si="1"/>
        <v>5365654071</v>
      </c>
      <c r="M59" s="4">
        <v>0.37</v>
      </c>
      <c r="N59" s="4">
        <v>0.05</v>
      </c>
      <c r="O59" s="29">
        <f t="shared" si="2"/>
        <v>268282703.6</v>
      </c>
      <c r="P59" s="29">
        <f t="shared" si="3"/>
        <v>425845561.2</v>
      </c>
      <c r="Q59" s="29">
        <f t="shared" si="4"/>
        <v>157562857.7</v>
      </c>
      <c r="R59" s="4">
        <v>0.075</v>
      </c>
      <c r="S59" s="29">
        <f t="shared" si="5"/>
        <v>308525109.1</v>
      </c>
      <c r="T59" s="29">
        <f t="shared" si="6"/>
        <v>489722395.4</v>
      </c>
      <c r="U59" s="29">
        <f t="shared" si="7"/>
        <v>181197286.3</v>
      </c>
    </row>
    <row r="60" ht="14.25" customHeight="1">
      <c r="A60" s="2">
        <v>58.0</v>
      </c>
      <c r="B60" s="2" t="s">
        <v>248</v>
      </c>
      <c r="C60" s="2" t="s">
        <v>249</v>
      </c>
      <c r="D60" s="3">
        <v>5.3E9</v>
      </c>
      <c r="E60" s="2" t="s">
        <v>80</v>
      </c>
      <c r="F60" s="4" t="str">
        <f>VLOOKUP(B60,Raw_Data_Collection!$B$2:$F$215,5,FALSE)</f>
        <v>N</v>
      </c>
      <c r="G60" s="3">
        <f>VLOOKUP(B60,Raw_Data_Collection!$B$2:$J$215,6,FALSE)</f>
        <v>17115689</v>
      </c>
      <c r="H60" s="5" t="s">
        <v>250</v>
      </c>
      <c r="I60" s="4">
        <v>2026.0</v>
      </c>
      <c r="J60" s="18">
        <f>VLOOKUP(B60,Raw_Data_Collection!$B$2:$J$215,9,FALSE)</f>
        <v>17115689</v>
      </c>
      <c r="K60" s="18">
        <f>VLOOKUP(B60,Real_Estate_Stats!$A$2:$G$215,7,FALSE)</f>
        <v>17115689</v>
      </c>
      <c r="L60" s="18">
        <f t="shared" si="1"/>
        <v>5282884311</v>
      </c>
      <c r="M60" s="4">
        <v>0.37</v>
      </c>
      <c r="N60" s="4">
        <v>0.05</v>
      </c>
      <c r="O60" s="29">
        <f t="shared" si="2"/>
        <v>264144215.6</v>
      </c>
      <c r="P60" s="29">
        <f t="shared" si="3"/>
        <v>419276532.6</v>
      </c>
      <c r="Q60" s="29">
        <f t="shared" si="4"/>
        <v>155132317.1</v>
      </c>
      <c r="R60" s="4">
        <v>0.075</v>
      </c>
      <c r="S60" s="29">
        <f t="shared" si="5"/>
        <v>303765847.9</v>
      </c>
      <c r="T60" s="29">
        <f t="shared" si="6"/>
        <v>482168012.5</v>
      </c>
      <c r="U60" s="29">
        <f t="shared" si="7"/>
        <v>178402164.6</v>
      </c>
      <c r="V60" s="4">
        <v>2026.0</v>
      </c>
      <c r="W60" s="5" t="s">
        <v>250</v>
      </c>
      <c r="X60" s="7" t="s">
        <v>714</v>
      </c>
    </row>
    <row r="61" ht="14.25" customHeight="1">
      <c r="A61" s="2">
        <v>59.0</v>
      </c>
      <c r="B61" s="2" t="s">
        <v>252</v>
      </c>
      <c r="C61" s="2" t="s">
        <v>249</v>
      </c>
      <c r="D61" s="3">
        <v>5.3E9</v>
      </c>
      <c r="E61" s="2" t="s">
        <v>80</v>
      </c>
      <c r="F61" s="4" t="str">
        <f>VLOOKUP(B61,Raw_Data_Collection!$B$2:$F$215,5,FALSE)</f>
        <v>N</v>
      </c>
      <c r="G61" s="3">
        <f>VLOOKUP(B61,Raw_Data_Collection!$B$2:$J$215,6,FALSE)</f>
        <v>17115689</v>
      </c>
      <c r="H61" s="5" t="s">
        <v>250</v>
      </c>
      <c r="I61" s="4">
        <v>2026.0</v>
      </c>
      <c r="J61" s="18">
        <f>VLOOKUP(B61,Raw_Data_Collection!$B$2:$J$215,9,FALSE)</f>
        <v>17115689</v>
      </c>
      <c r="K61" s="18">
        <f>VLOOKUP(B61,Real_Estate_Stats!$A$2:$G$215,7,FALSE)</f>
        <v>17115689</v>
      </c>
      <c r="L61" s="18">
        <f t="shared" si="1"/>
        <v>5282884311</v>
      </c>
      <c r="M61" s="4">
        <v>0.37</v>
      </c>
      <c r="N61" s="4">
        <v>0.05</v>
      </c>
      <c r="O61" s="29">
        <f t="shared" si="2"/>
        <v>264144215.6</v>
      </c>
      <c r="P61" s="29">
        <f t="shared" si="3"/>
        <v>419276532.6</v>
      </c>
      <c r="Q61" s="29">
        <f t="shared" si="4"/>
        <v>155132317.1</v>
      </c>
      <c r="R61" s="4">
        <v>0.075</v>
      </c>
      <c r="S61" s="29">
        <f t="shared" si="5"/>
        <v>303765847.9</v>
      </c>
      <c r="T61" s="29">
        <f t="shared" si="6"/>
        <v>482168012.5</v>
      </c>
      <c r="U61" s="29">
        <f t="shared" si="7"/>
        <v>178402164.6</v>
      </c>
      <c r="V61" s="4">
        <v>2026.0</v>
      </c>
      <c r="W61" s="5" t="s">
        <v>250</v>
      </c>
      <c r="X61" s="12" t="s">
        <v>253</v>
      </c>
    </row>
    <row r="62" ht="14.25" customHeight="1">
      <c r="A62" s="2">
        <v>60.0</v>
      </c>
      <c r="B62" s="2" t="s">
        <v>254</v>
      </c>
      <c r="C62" s="2" t="s">
        <v>249</v>
      </c>
      <c r="D62" s="3">
        <v>5.3E9</v>
      </c>
      <c r="E62" s="2" t="s">
        <v>17</v>
      </c>
      <c r="F62" s="4" t="str">
        <f>VLOOKUP(B62,Raw_Data_Collection!$B$2:$F$215,5,FALSE)</f>
        <v>N</v>
      </c>
      <c r="G62" s="3" t="str">
        <f>VLOOKUP(B62,Raw_Data_Collection!$B$2:$J$215,6,FALSE)</f>
        <v/>
      </c>
      <c r="J62" s="2" t="str">
        <f>VLOOKUP(B62,Raw_Data_Collection!$B$2:$J$215,9,FALSE)</f>
        <v/>
      </c>
      <c r="K62" s="18">
        <f>VLOOKUP(B62,Real_Estate_Stats!$A$2:$G$215,7,FALSE)</f>
        <v>33709892.86</v>
      </c>
      <c r="L62" s="18">
        <f t="shared" si="1"/>
        <v>5266290107</v>
      </c>
      <c r="M62" s="4">
        <v>0.37</v>
      </c>
      <c r="N62" s="4">
        <v>0.05</v>
      </c>
      <c r="O62" s="29">
        <f t="shared" si="2"/>
        <v>263314505.4</v>
      </c>
      <c r="P62" s="29">
        <f t="shared" si="3"/>
        <v>417959532.3</v>
      </c>
      <c r="Q62" s="29">
        <f t="shared" si="4"/>
        <v>154645027</v>
      </c>
      <c r="R62" s="4">
        <v>0.075</v>
      </c>
      <c r="S62" s="29">
        <f t="shared" si="5"/>
        <v>302811681.2</v>
      </c>
      <c r="T62" s="29">
        <f t="shared" si="6"/>
        <v>480653462.2</v>
      </c>
      <c r="U62" s="29">
        <f t="shared" si="7"/>
        <v>177841781</v>
      </c>
    </row>
    <row r="63" ht="14.25" customHeight="1">
      <c r="A63" s="2">
        <v>61.0</v>
      </c>
      <c r="B63" s="2" t="s">
        <v>255</v>
      </c>
      <c r="C63" s="2" t="s">
        <v>249</v>
      </c>
      <c r="D63" s="3">
        <v>5.3E9</v>
      </c>
      <c r="E63" s="2" t="s">
        <v>256</v>
      </c>
      <c r="F63" s="4" t="str">
        <f>VLOOKUP(B63,Raw_Data_Collection!$B$2:$F$215,5,FALSE)</f>
        <v>N</v>
      </c>
      <c r="G63" s="3">
        <f>VLOOKUP(B63,Raw_Data_Collection!$B$2:$J$215,6,FALSE)</f>
        <v>41600000</v>
      </c>
      <c r="H63" s="5" t="s">
        <v>257</v>
      </c>
      <c r="I63" s="4">
        <v>2026.0</v>
      </c>
      <c r="J63" s="18">
        <f>VLOOKUP(B63,Raw_Data_Collection!$B$2:$J$215,9,FALSE)</f>
        <v>123000000</v>
      </c>
      <c r="K63" s="18">
        <f>VLOOKUP(B63,Real_Estate_Stats!$A$2:$G$215,7,FALSE)</f>
        <v>123000000</v>
      </c>
      <c r="L63" s="18">
        <f t="shared" si="1"/>
        <v>5177000000</v>
      </c>
      <c r="M63" s="4">
        <v>0.37</v>
      </c>
      <c r="N63" s="4">
        <v>0.05</v>
      </c>
      <c r="O63" s="29">
        <f t="shared" si="2"/>
        <v>258850000</v>
      </c>
      <c r="P63" s="29">
        <f t="shared" si="3"/>
        <v>410873015.9</v>
      </c>
      <c r="Q63" s="29">
        <f t="shared" si="4"/>
        <v>152023015.9</v>
      </c>
      <c r="R63" s="4">
        <v>0.075</v>
      </c>
      <c r="S63" s="29">
        <f t="shared" si="5"/>
        <v>297677500</v>
      </c>
      <c r="T63" s="29">
        <f t="shared" si="6"/>
        <v>472503968.3</v>
      </c>
      <c r="U63" s="29">
        <f t="shared" si="7"/>
        <v>174826468.3</v>
      </c>
      <c r="V63" s="4" t="s">
        <v>258</v>
      </c>
      <c r="W63" s="4" t="s">
        <v>259</v>
      </c>
      <c r="X63" s="4" t="s">
        <v>260</v>
      </c>
    </row>
    <row r="64" ht="14.25" customHeight="1">
      <c r="A64" s="2">
        <v>62.0</v>
      </c>
      <c r="B64" s="2" t="s">
        <v>261</v>
      </c>
      <c r="C64" s="2" t="s">
        <v>262</v>
      </c>
      <c r="D64" s="3">
        <v>5.1E9</v>
      </c>
      <c r="E64" s="2" t="s">
        <v>263</v>
      </c>
      <c r="F64" s="4" t="str">
        <f>VLOOKUP(B64,Raw_Data_Collection!$B$2:$F$215,5,FALSE)</f>
        <v>Y</v>
      </c>
      <c r="G64" s="3">
        <f>VLOOKUP(B64,Raw_Data_Collection!$B$2:$J$215,6,FALSE)</f>
        <v>1750000</v>
      </c>
      <c r="H64" s="5" t="s">
        <v>264</v>
      </c>
      <c r="I64" s="4">
        <v>2016.0</v>
      </c>
      <c r="J64" s="18">
        <f>VLOOKUP(B64,Raw_Data_Collection!$B$2:$J$215,9,FALSE)</f>
        <v>3250000</v>
      </c>
      <c r="K64" s="18">
        <f>VLOOKUP(B64,Real_Estate_Stats!$A$2:$G$215,7,FALSE)</f>
        <v>3250000</v>
      </c>
      <c r="L64" s="18">
        <f t="shared" si="1"/>
        <v>5096750000</v>
      </c>
      <c r="M64" s="4">
        <v>0.37</v>
      </c>
      <c r="N64" s="4">
        <v>0.05</v>
      </c>
      <c r="O64" s="29">
        <f t="shared" si="2"/>
        <v>254837500</v>
      </c>
      <c r="P64" s="29">
        <f t="shared" si="3"/>
        <v>404503968.3</v>
      </c>
      <c r="Q64" s="29">
        <f t="shared" si="4"/>
        <v>149666468.3</v>
      </c>
      <c r="R64" s="4">
        <v>0.075</v>
      </c>
      <c r="S64" s="29">
        <f t="shared" si="5"/>
        <v>293063125</v>
      </c>
      <c r="T64" s="29">
        <f t="shared" si="6"/>
        <v>465179563.5</v>
      </c>
      <c r="U64" s="29">
        <f t="shared" si="7"/>
        <v>172116438.5</v>
      </c>
      <c r="V64" s="4" t="s">
        <v>265</v>
      </c>
      <c r="W64" s="6" t="s">
        <v>264</v>
      </c>
      <c r="X64" s="4" t="s">
        <v>266</v>
      </c>
      <c r="Y64" s="5" t="s">
        <v>94</v>
      </c>
    </row>
    <row r="65" ht="14.25" customHeight="1">
      <c r="A65" s="2">
        <v>63.0</v>
      </c>
      <c r="B65" s="2" t="s">
        <v>267</v>
      </c>
      <c r="C65" s="2" t="s">
        <v>262</v>
      </c>
      <c r="D65" s="3">
        <v>5.1E9</v>
      </c>
      <c r="E65" s="2" t="s">
        <v>268</v>
      </c>
      <c r="F65" s="4" t="str">
        <f>VLOOKUP(B65,Raw_Data_Collection!$B$2:$F$215,5,FALSE)</f>
        <v>N</v>
      </c>
      <c r="G65" s="3" t="str">
        <f>VLOOKUP(B65,Raw_Data_Collection!$B$2:$J$215,6,FALSE)</f>
        <v/>
      </c>
      <c r="J65" s="2" t="str">
        <f>VLOOKUP(B65,Raw_Data_Collection!$B$2:$J$215,9,FALSE)</f>
        <v/>
      </c>
      <c r="K65" s="18">
        <f>VLOOKUP(B65,Real_Estate_Stats!$A$2:$G$215,7,FALSE)</f>
        <v>32437821.43</v>
      </c>
      <c r="L65" s="18">
        <f t="shared" si="1"/>
        <v>5067562179</v>
      </c>
      <c r="M65" s="4">
        <v>0.37</v>
      </c>
      <c r="N65" s="4">
        <v>0.05</v>
      </c>
      <c r="O65" s="29">
        <f t="shared" si="2"/>
        <v>253378108.9</v>
      </c>
      <c r="P65" s="29">
        <f t="shared" si="3"/>
        <v>402187474.5</v>
      </c>
      <c r="Q65" s="29">
        <f t="shared" si="4"/>
        <v>148809365.6</v>
      </c>
      <c r="R65" s="4">
        <v>0.075</v>
      </c>
      <c r="S65" s="29">
        <f t="shared" si="5"/>
        <v>291384825.3</v>
      </c>
      <c r="T65" s="29">
        <f t="shared" si="6"/>
        <v>462515595.7</v>
      </c>
      <c r="U65" s="29">
        <f t="shared" si="7"/>
        <v>171130770.4</v>
      </c>
    </row>
    <row r="66" ht="14.25" customHeight="1">
      <c r="A66" s="2">
        <v>64.0</v>
      </c>
      <c r="B66" s="2" t="s">
        <v>269</v>
      </c>
      <c r="C66" s="2" t="s">
        <v>270</v>
      </c>
      <c r="D66" s="3">
        <v>5.0E9</v>
      </c>
      <c r="E66" s="2" t="s">
        <v>271</v>
      </c>
      <c r="F66" s="4" t="str">
        <f>VLOOKUP(B66,Raw_Data_Collection!$B$2:$F$215,5,FALSE)</f>
        <v>N</v>
      </c>
      <c r="G66" s="3" t="str">
        <f>VLOOKUP(B66,Raw_Data_Collection!$B$2:$J$215,6,FALSE)</f>
        <v/>
      </c>
      <c r="J66" s="2" t="str">
        <f>VLOOKUP(B66,Raw_Data_Collection!$B$2:$J$215,9,FALSE)</f>
        <v/>
      </c>
      <c r="K66" s="18">
        <f>VLOOKUP(B66,Real_Estate_Stats!$A$2:$G$215,7,FALSE)</f>
        <v>31801785.71</v>
      </c>
      <c r="L66" s="18">
        <f t="shared" si="1"/>
        <v>4968198214</v>
      </c>
      <c r="M66" s="4">
        <v>0.37</v>
      </c>
      <c r="N66" s="4">
        <v>0.05</v>
      </c>
      <c r="O66" s="29">
        <f t="shared" si="2"/>
        <v>248409910.7</v>
      </c>
      <c r="P66" s="29">
        <f t="shared" si="3"/>
        <v>394301445.6</v>
      </c>
      <c r="Q66" s="29">
        <f t="shared" si="4"/>
        <v>145891534.9</v>
      </c>
      <c r="R66" s="4">
        <v>0.075</v>
      </c>
      <c r="S66" s="29">
        <f t="shared" si="5"/>
        <v>285671397.3</v>
      </c>
      <c r="T66" s="29">
        <f t="shared" si="6"/>
        <v>453446662.4</v>
      </c>
      <c r="U66" s="29">
        <f t="shared" si="7"/>
        <v>167775265.1</v>
      </c>
    </row>
    <row r="67" ht="14.25" customHeight="1">
      <c r="A67" s="2">
        <v>65.0</v>
      </c>
      <c r="B67" s="2" t="s">
        <v>272</v>
      </c>
      <c r="C67" s="2" t="s">
        <v>270</v>
      </c>
      <c r="D67" s="3">
        <v>5.0E9</v>
      </c>
      <c r="E67" s="2" t="s">
        <v>100</v>
      </c>
      <c r="F67" s="4" t="str">
        <f>VLOOKUP(B67,Raw_Data_Collection!$B$2:$F$215,5,FALSE)</f>
        <v>N</v>
      </c>
      <c r="G67" s="3" t="str">
        <f>VLOOKUP(B67,Raw_Data_Collection!$B$2:$J$215,6,FALSE)</f>
        <v/>
      </c>
      <c r="J67" s="2" t="str">
        <f>VLOOKUP(B67,Raw_Data_Collection!$B$2:$J$215,9,FALSE)</f>
        <v/>
      </c>
      <c r="K67" s="18">
        <f>VLOOKUP(B67,Real_Estate_Stats!$A$2:$G$215,7,FALSE)</f>
        <v>31801785.71</v>
      </c>
      <c r="L67" s="18">
        <f t="shared" si="1"/>
        <v>4968198214</v>
      </c>
      <c r="M67" s="4">
        <v>0.37</v>
      </c>
      <c r="N67" s="4">
        <v>0.05</v>
      </c>
      <c r="O67" s="29">
        <f t="shared" si="2"/>
        <v>248409910.7</v>
      </c>
      <c r="P67" s="29">
        <f t="shared" si="3"/>
        <v>394301445.6</v>
      </c>
      <c r="Q67" s="29">
        <f t="shared" si="4"/>
        <v>145891534.9</v>
      </c>
      <c r="R67" s="4">
        <v>0.075</v>
      </c>
      <c r="S67" s="29">
        <f t="shared" si="5"/>
        <v>285671397.3</v>
      </c>
      <c r="T67" s="29">
        <f t="shared" si="6"/>
        <v>453446662.4</v>
      </c>
      <c r="U67" s="29">
        <f t="shared" si="7"/>
        <v>167775265.1</v>
      </c>
    </row>
    <row r="68" ht="14.25" customHeight="1">
      <c r="A68" s="2">
        <v>66.0</v>
      </c>
      <c r="B68" s="2" t="s">
        <v>273</v>
      </c>
      <c r="C68" s="2" t="s">
        <v>274</v>
      </c>
      <c r="D68" s="3">
        <v>4.9E9</v>
      </c>
      <c r="E68" s="2" t="s">
        <v>100</v>
      </c>
      <c r="F68" s="4" t="str">
        <f>VLOOKUP(B68,Raw_Data_Collection!$B$2:$F$215,5,FALSE)</f>
        <v>N</v>
      </c>
      <c r="G68" s="3">
        <f>VLOOKUP(B68,Raw_Data_Collection!$B$2:$J$215,6,FALSE)</f>
        <v>31900000</v>
      </c>
      <c r="H68" s="5" t="s">
        <v>149</v>
      </c>
      <c r="I68" s="4">
        <v>2018.0</v>
      </c>
      <c r="J68" s="18">
        <f>VLOOKUP(B68,Raw_Data_Collection!$B$2:$J$215,9,FALSE)</f>
        <v>31900000</v>
      </c>
      <c r="K68" s="18">
        <f>VLOOKUP(B68,Real_Estate_Stats!$A$2:$G$215,7,FALSE)</f>
        <v>31900000</v>
      </c>
      <c r="L68" s="18">
        <f t="shared" si="1"/>
        <v>4868100000</v>
      </c>
      <c r="M68" s="4">
        <v>0.37</v>
      </c>
      <c r="N68" s="4">
        <v>0.05</v>
      </c>
      <c r="O68" s="29">
        <f t="shared" si="2"/>
        <v>243405000</v>
      </c>
      <c r="P68" s="29">
        <f t="shared" si="3"/>
        <v>386357142.9</v>
      </c>
      <c r="Q68" s="29">
        <f t="shared" si="4"/>
        <v>142952142.9</v>
      </c>
      <c r="R68" s="4">
        <v>0.075</v>
      </c>
      <c r="S68" s="29">
        <f t="shared" si="5"/>
        <v>279915750</v>
      </c>
      <c r="T68" s="29">
        <f t="shared" si="6"/>
        <v>444310714.3</v>
      </c>
      <c r="U68" s="29">
        <f t="shared" si="7"/>
        <v>164394964.3</v>
      </c>
      <c r="V68" s="4" t="s">
        <v>275</v>
      </c>
      <c r="W68" s="4" t="s">
        <v>276</v>
      </c>
      <c r="X68" s="4" t="s">
        <v>277</v>
      </c>
    </row>
    <row r="69" ht="14.25" customHeight="1">
      <c r="A69" s="2">
        <v>67.0</v>
      </c>
      <c r="B69" s="2" t="s">
        <v>278</v>
      </c>
      <c r="C69" s="2" t="s">
        <v>274</v>
      </c>
      <c r="D69" s="3">
        <v>4.9E9</v>
      </c>
      <c r="E69" s="2" t="s">
        <v>100</v>
      </c>
      <c r="F69" s="4" t="str">
        <f>VLOOKUP(B69,Raw_Data_Collection!$B$2:$F$215,5,FALSE)</f>
        <v>N</v>
      </c>
      <c r="G69" s="3" t="str">
        <f>VLOOKUP(B69,Raw_Data_Collection!$B$2:$J$215,6,FALSE)</f>
        <v/>
      </c>
      <c r="J69" s="2" t="str">
        <f>VLOOKUP(B69,Raw_Data_Collection!$B$2:$J$215,9,FALSE)</f>
        <v/>
      </c>
      <c r="K69" s="18">
        <f>VLOOKUP(B69,Real_Estate_Stats!$A$2:$G$215,7,FALSE)</f>
        <v>31165750</v>
      </c>
      <c r="L69" s="18">
        <f t="shared" si="1"/>
        <v>4868834250</v>
      </c>
      <c r="M69" s="4">
        <v>0.37</v>
      </c>
      <c r="N69" s="4">
        <v>0.05</v>
      </c>
      <c r="O69" s="29">
        <f t="shared" si="2"/>
        <v>243441712.5</v>
      </c>
      <c r="P69" s="29">
        <f t="shared" si="3"/>
        <v>386415416.7</v>
      </c>
      <c r="Q69" s="29">
        <f t="shared" si="4"/>
        <v>142973704.2</v>
      </c>
      <c r="R69" s="4">
        <v>0.075</v>
      </c>
      <c r="S69" s="29">
        <f t="shared" si="5"/>
        <v>279957969.4</v>
      </c>
      <c r="T69" s="29">
        <f t="shared" si="6"/>
        <v>444377729.2</v>
      </c>
      <c r="U69" s="29">
        <f t="shared" si="7"/>
        <v>164419759.8</v>
      </c>
    </row>
    <row r="70" ht="14.25" customHeight="1">
      <c r="A70" s="2">
        <v>68.0</v>
      </c>
      <c r="B70" s="2" t="s">
        <v>279</v>
      </c>
      <c r="C70" s="2" t="s">
        <v>280</v>
      </c>
      <c r="D70" s="3">
        <v>4.8E9</v>
      </c>
      <c r="E70" s="2" t="s">
        <v>100</v>
      </c>
      <c r="F70" s="4" t="str">
        <f>VLOOKUP(B70,Raw_Data_Collection!$B$2:$F$215,5,FALSE)</f>
        <v>N</v>
      </c>
      <c r="G70" s="3">
        <f>VLOOKUP(B70,Raw_Data_Collection!$B$2:$J$215,6,FALSE)</f>
        <v>22222762</v>
      </c>
      <c r="H70" s="5" t="s">
        <v>281</v>
      </c>
      <c r="I70" s="4">
        <v>2026.0</v>
      </c>
      <c r="J70" s="18">
        <f>VLOOKUP(B70,Raw_Data_Collection!$B$2:$J$215,9,FALSE)</f>
        <v>59322762</v>
      </c>
      <c r="K70" s="18">
        <f>VLOOKUP(B70,Real_Estate_Stats!$A$2:$G$215,7,FALSE)</f>
        <v>59322762</v>
      </c>
      <c r="L70" s="18">
        <f t="shared" si="1"/>
        <v>4740677238</v>
      </c>
      <c r="M70" s="4">
        <v>0.37</v>
      </c>
      <c r="N70" s="4">
        <v>0.05</v>
      </c>
      <c r="O70" s="29">
        <f t="shared" si="2"/>
        <v>237033861.9</v>
      </c>
      <c r="P70" s="29">
        <f t="shared" si="3"/>
        <v>376244225.2</v>
      </c>
      <c r="Q70" s="29">
        <f t="shared" si="4"/>
        <v>139210363.3</v>
      </c>
      <c r="R70" s="4">
        <v>0.075</v>
      </c>
      <c r="S70" s="29">
        <f t="shared" si="5"/>
        <v>272588941.2</v>
      </c>
      <c r="T70" s="29">
        <f t="shared" si="6"/>
        <v>432680859</v>
      </c>
      <c r="U70" s="29">
        <f t="shared" si="7"/>
        <v>160091917.8</v>
      </c>
      <c r="V70" s="4" t="s">
        <v>282</v>
      </c>
      <c r="W70" s="4" t="s">
        <v>283</v>
      </c>
      <c r="X70" s="10" t="s">
        <v>715</v>
      </c>
    </row>
    <row r="71" ht="14.25" customHeight="1">
      <c r="A71" s="2">
        <v>69.0</v>
      </c>
      <c r="B71" s="2" t="s">
        <v>285</v>
      </c>
      <c r="C71" s="2" t="s">
        <v>280</v>
      </c>
      <c r="D71" s="3">
        <v>4.8E9</v>
      </c>
      <c r="E71" s="2" t="s">
        <v>100</v>
      </c>
      <c r="F71" s="4" t="str">
        <f>VLOOKUP(B71,Raw_Data_Collection!$B$2:$F$215,5,FALSE)</f>
        <v>N</v>
      </c>
      <c r="G71" s="3">
        <f>VLOOKUP(B71,Raw_Data_Collection!$B$2:$J$215,6,FALSE)</f>
        <v>6849000</v>
      </c>
      <c r="H71" s="5" t="s">
        <v>286</v>
      </c>
      <c r="I71" s="4">
        <v>2026.0</v>
      </c>
      <c r="J71" s="18">
        <f>VLOOKUP(B71,Raw_Data_Collection!$B$2:$J$215,9,FALSE)</f>
        <v>6849000</v>
      </c>
      <c r="K71" s="18">
        <f>VLOOKUP(B71,Real_Estate_Stats!$A$2:$G$215,7,FALSE)</f>
        <v>6849000</v>
      </c>
      <c r="L71" s="18">
        <f t="shared" si="1"/>
        <v>4793151000</v>
      </c>
      <c r="M71" s="4">
        <v>0.37</v>
      </c>
      <c r="N71" s="4">
        <v>0.05</v>
      </c>
      <c r="O71" s="29">
        <f t="shared" si="2"/>
        <v>239657550</v>
      </c>
      <c r="P71" s="29">
        <f t="shared" si="3"/>
        <v>380408809.5</v>
      </c>
      <c r="Q71" s="29">
        <f t="shared" si="4"/>
        <v>140751259.5</v>
      </c>
      <c r="R71" s="4">
        <v>0.075</v>
      </c>
      <c r="S71" s="29">
        <f t="shared" si="5"/>
        <v>275606182.5</v>
      </c>
      <c r="T71" s="29">
        <f t="shared" si="6"/>
        <v>437470131</v>
      </c>
      <c r="U71" s="29">
        <f t="shared" si="7"/>
        <v>161863948.5</v>
      </c>
      <c r="V71" s="4">
        <v>2026.0</v>
      </c>
      <c r="W71" s="5" t="s">
        <v>286</v>
      </c>
      <c r="X71" s="6" t="s">
        <v>716</v>
      </c>
    </row>
    <row r="72" ht="14.25" customHeight="1">
      <c r="A72" s="2">
        <v>70.0</v>
      </c>
      <c r="B72" s="2" t="s">
        <v>288</v>
      </c>
      <c r="C72" s="2" t="s">
        <v>280</v>
      </c>
      <c r="D72" s="3">
        <v>4.8E9</v>
      </c>
      <c r="E72" s="2" t="s">
        <v>256</v>
      </c>
      <c r="F72" s="4" t="str">
        <f>VLOOKUP(B72,Raw_Data_Collection!$B$2:$F$215,5,FALSE)</f>
        <v>N</v>
      </c>
      <c r="G72" s="3">
        <f>VLOOKUP(B72,Raw_Data_Collection!$B$2:$J$215,6,FALSE)</f>
        <v>5884000</v>
      </c>
      <c r="H72" s="5" t="s">
        <v>289</v>
      </c>
      <c r="I72" s="4">
        <v>2026.0</v>
      </c>
      <c r="J72" s="18">
        <f>VLOOKUP(B72,Raw_Data_Collection!$B$2:$J$215,9,FALSE)</f>
        <v>5884000</v>
      </c>
      <c r="K72" s="18">
        <f>VLOOKUP(B72,Real_Estate_Stats!$A$2:$G$215,7,FALSE)</f>
        <v>5884000</v>
      </c>
      <c r="L72" s="18">
        <f t="shared" si="1"/>
        <v>4794116000</v>
      </c>
      <c r="M72" s="4">
        <v>0.37</v>
      </c>
      <c r="N72" s="4">
        <v>0.05</v>
      </c>
      <c r="O72" s="29">
        <f t="shared" si="2"/>
        <v>239705800</v>
      </c>
      <c r="P72" s="29">
        <f t="shared" si="3"/>
        <v>380485396.8</v>
      </c>
      <c r="Q72" s="29">
        <f t="shared" si="4"/>
        <v>140779596.8</v>
      </c>
      <c r="R72" s="4">
        <v>0.075</v>
      </c>
      <c r="S72" s="29">
        <f t="shared" si="5"/>
        <v>275661670</v>
      </c>
      <c r="T72" s="29">
        <f t="shared" si="6"/>
        <v>437558206.3</v>
      </c>
      <c r="U72" s="29">
        <f t="shared" si="7"/>
        <v>161896536.3</v>
      </c>
      <c r="V72" s="4">
        <v>2026.0</v>
      </c>
      <c r="W72" s="5" t="s">
        <v>289</v>
      </c>
      <c r="X72" s="7" t="s">
        <v>717</v>
      </c>
    </row>
    <row r="73" ht="14.25" customHeight="1">
      <c r="A73" s="2">
        <v>71.0</v>
      </c>
      <c r="B73" s="2" t="s">
        <v>291</v>
      </c>
      <c r="C73" s="2" t="s">
        <v>280</v>
      </c>
      <c r="D73" s="3">
        <v>4.8E9</v>
      </c>
      <c r="E73" s="2" t="s">
        <v>218</v>
      </c>
      <c r="F73" s="4" t="str">
        <f>VLOOKUP(B73,Raw_Data_Collection!$B$2:$F$215,5,FALSE)</f>
        <v>N</v>
      </c>
      <c r="G73" s="3">
        <f>VLOOKUP(B73,Raw_Data_Collection!$B$2:$J$215,6,FALSE)</f>
        <v>13269963</v>
      </c>
      <c r="H73" s="5" t="s">
        <v>292</v>
      </c>
      <c r="I73" s="4">
        <v>2026.0</v>
      </c>
      <c r="J73" s="18">
        <f>VLOOKUP(B73,Raw_Data_Collection!$B$2:$J$215,9,FALSE)</f>
        <v>25671792</v>
      </c>
      <c r="K73" s="18">
        <f>VLOOKUP(B73,Real_Estate_Stats!$A$2:$G$215,7,FALSE)</f>
        <v>25671792</v>
      </c>
      <c r="L73" s="18">
        <f t="shared" si="1"/>
        <v>4774328208</v>
      </c>
      <c r="M73" s="4">
        <v>0.37</v>
      </c>
      <c r="N73" s="4">
        <v>0.05</v>
      </c>
      <c r="O73" s="29">
        <f t="shared" si="2"/>
        <v>238716410.4</v>
      </c>
      <c r="P73" s="29">
        <f t="shared" si="3"/>
        <v>378914937.1</v>
      </c>
      <c r="Q73" s="29">
        <f t="shared" si="4"/>
        <v>140198526.7</v>
      </c>
      <c r="R73" s="4">
        <v>0.075</v>
      </c>
      <c r="S73" s="29">
        <f t="shared" si="5"/>
        <v>274523872</v>
      </c>
      <c r="T73" s="29">
        <f t="shared" si="6"/>
        <v>435752177.7</v>
      </c>
      <c r="U73" s="29">
        <f t="shared" si="7"/>
        <v>161228305.8</v>
      </c>
      <c r="V73" s="4">
        <v>2026.0</v>
      </c>
      <c r="W73" s="4" t="s">
        <v>293</v>
      </c>
      <c r="X73" s="7" t="s">
        <v>718</v>
      </c>
    </row>
    <row r="74" ht="14.25" customHeight="1">
      <c r="A74" s="2">
        <v>72.0</v>
      </c>
      <c r="B74" s="2" t="s">
        <v>295</v>
      </c>
      <c r="C74" s="2" t="s">
        <v>280</v>
      </c>
      <c r="D74" s="3">
        <v>4.8E9</v>
      </c>
      <c r="E74" s="2" t="s">
        <v>100</v>
      </c>
      <c r="F74" s="4" t="str">
        <f>VLOOKUP(B74,Raw_Data_Collection!$B$2:$F$215,5,FALSE)</f>
        <v>N</v>
      </c>
      <c r="G74" s="3">
        <f>VLOOKUP(B74,Raw_Data_Collection!$B$2:$J$215,6,FALSE)</f>
        <v>7809894</v>
      </c>
      <c r="H74" s="5" t="s">
        <v>296</v>
      </c>
      <c r="I74" s="4">
        <v>2026.0</v>
      </c>
      <c r="J74" s="18">
        <f>VLOOKUP(B74,Raw_Data_Collection!$B$2:$J$215,9,FALSE)</f>
        <v>90000000</v>
      </c>
      <c r="K74" s="18">
        <f>VLOOKUP(B74,Real_Estate_Stats!$A$2:$G$215,7,FALSE)</f>
        <v>90000000</v>
      </c>
      <c r="L74" s="18">
        <f t="shared" si="1"/>
        <v>4710000000</v>
      </c>
      <c r="M74" s="4">
        <v>0.37</v>
      </c>
      <c r="N74" s="4">
        <v>0.05</v>
      </c>
      <c r="O74" s="29">
        <f t="shared" si="2"/>
        <v>235500000</v>
      </c>
      <c r="P74" s="29">
        <f t="shared" si="3"/>
        <v>373809523.8</v>
      </c>
      <c r="Q74" s="29">
        <f t="shared" si="4"/>
        <v>138309523.8</v>
      </c>
      <c r="R74" s="4">
        <v>0.075</v>
      </c>
      <c r="S74" s="29">
        <f t="shared" si="5"/>
        <v>270825000</v>
      </c>
      <c r="T74" s="29">
        <f t="shared" si="6"/>
        <v>429880952.4</v>
      </c>
      <c r="U74" s="29">
        <f t="shared" si="7"/>
        <v>159055952.4</v>
      </c>
      <c r="V74" s="4">
        <v>2023.0</v>
      </c>
      <c r="W74" s="6" t="s">
        <v>297</v>
      </c>
      <c r="X74" s="6" t="s">
        <v>719</v>
      </c>
    </row>
    <row r="75" ht="14.25" customHeight="1">
      <c r="A75" s="2">
        <v>73.0</v>
      </c>
      <c r="B75" s="2" t="s">
        <v>299</v>
      </c>
      <c r="C75" s="2" t="s">
        <v>300</v>
      </c>
      <c r="D75" s="3">
        <v>4.5E9</v>
      </c>
      <c r="E75" s="2" t="s">
        <v>17</v>
      </c>
      <c r="F75" s="4" t="str">
        <f>VLOOKUP(B75,Raw_Data_Collection!$B$2:$F$215,5,FALSE)</f>
        <v>N</v>
      </c>
      <c r="G75" s="3" t="str">
        <f>VLOOKUP(B75,Raw_Data_Collection!$B$2:$J$215,6,FALSE)</f>
        <v/>
      </c>
      <c r="I75" s="4"/>
      <c r="J75" s="2" t="str">
        <f>VLOOKUP(B75,Raw_Data_Collection!$B$2:$J$215,9,FALSE)</f>
        <v/>
      </c>
      <c r="K75" s="18">
        <f>VLOOKUP(B75,Real_Estate_Stats!$A$2:$G$215,7,FALSE)</f>
        <v>28621607.14</v>
      </c>
      <c r="L75" s="18">
        <f t="shared" si="1"/>
        <v>4471378393</v>
      </c>
      <c r="M75" s="4">
        <v>0.37</v>
      </c>
      <c r="N75" s="4">
        <v>0.05</v>
      </c>
      <c r="O75" s="29">
        <f t="shared" si="2"/>
        <v>223568919.6</v>
      </c>
      <c r="P75" s="29">
        <f t="shared" si="3"/>
        <v>354871301</v>
      </c>
      <c r="Q75" s="29">
        <f t="shared" si="4"/>
        <v>131302381.4</v>
      </c>
      <c r="R75" s="4">
        <v>0.075</v>
      </c>
      <c r="S75" s="29">
        <f t="shared" si="5"/>
        <v>257104257.6</v>
      </c>
      <c r="T75" s="29">
        <f t="shared" si="6"/>
        <v>408101996.2</v>
      </c>
      <c r="U75" s="29">
        <f t="shared" si="7"/>
        <v>150997738.6</v>
      </c>
      <c r="V75" s="4"/>
      <c r="W75" s="4"/>
      <c r="X75" s="4"/>
    </row>
    <row r="76" ht="14.25" customHeight="1">
      <c r="A76" s="2">
        <v>74.0</v>
      </c>
      <c r="B76" s="2" t="s">
        <v>301</v>
      </c>
      <c r="C76" s="2" t="s">
        <v>302</v>
      </c>
      <c r="D76" s="3">
        <v>4.4E9</v>
      </c>
      <c r="E76" s="2" t="s">
        <v>303</v>
      </c>
      <c r="F76" s="4" t="str">
        <f>VLOOKUP(B76,Raw_Data_Collection!$B$2:$F$215,5,FALSE)</f>
        <v>N</v>
      </c>
      <c r="G76" s="3" t="str">
        <f>VLOOKUP(B76,Raw_Data_Collection!$B$2:$J$215,6,FALSE)</f>
        <v/>
      </c>
      <c r="J76" s="2" t="str">
        <f>VLOOKUP(B76,Raw_Data_Collection!$B$2:$J$215,9,FALSE)</f>
        <v/>
      </c>
      <c r="K76" s="18">
        <f>VLOOKUP(B76,Real_Estate_Stats!$A$2:$G$215,7,FALSE)</f>
        <v>27985571.43</v>
      </c>
      <c r="L76" s="18">
        <f t="shared" si="1"/>
        <v>4372014429</v>
      </c>
      <c r="M76" s="4">
        <v>0.37</v>
      </c>
      <c r="N76" s="4">
        <v>0.05</v>
      </c>
      <c r="O76" s="29">
        <f t="shared" si="2"/>
        <v>218600721.4</v>
      </c>
      <c r="P76" s="29">
        <f t="shared" si="3"/>
        <v>346985272.1</v>
      </c>
      <c r="Q76" s="29">
        <f t="shared" si="4"/>
        <v>128384550.7</v>
      </c>
      <c r="R76" s="4">
        <v>0.075</v>
      </c>
      <c r="S76" s="29">
        <f t="shared" si="5"/>
        <v>251390829.6</v>
      </c>
      <c r="T76" s="29">
        <f t="shared" si="6"/>
        <v>399033062.9</v>
      </c>
      <c r="U76" s="29">
        <f t="shared" si="7"/>
        <v>147642233.3</v>
      </c>
    </row>
    <row r="77" ht="14.25" customHeight="1">
      <c r="A77" s="2">
        <v>75.0</v>
      </c>
      <c r="B77" s="2" t="s">
        <v>304</v>
      </c>
      <c r="C77" s="2" t="s">
        <v>302</v>
      </c>
      <c r="D77" s="3">
        <v>4.4E9</v>
      </c>
      <c r="E77" s="2" t="s">
        <v>47</v>
      </c>
      <c r="F77" s="4" t="str">
        <f>VLOOKUP(B77,Raw_Data_Collection!$B$2:$F$215,5,FALSE)</f>
        <v>N</v>
      </c>
      <c r="G77" s="3">
        <f>VLOOKUP(B77,Raw_Data_Collection!$B$2:$J$215,6,FALSE)</f>
        <v>195000000</v>
      </c>
      <c r="H77" s="5" t="s">
        <v>305</v>
      </c>
      <c r="I77" s="4">
        <v>2024.0</v>
      </c>
      <c r="J77" s="18">
        <f>VLOOKUP(B77,Raw_Data_Collection!$B$2:$J$215,9,FALSE)</f>
        <v>195000000</v>
      </c>
      <c r="K77" s="18">
        <f>VLOOKUP(B77,Real_Estate_Stats!$A$2:$G$215,7,FALSE)</f>
        <v>195000000</v>
      </c>
      <c r="L77" s="18">
        <f t="shared" si="1"/>
        <v>4205000000</v>
      </c>
      <c r="M77" s="4">
        <v>0.37</v>
      </c>
      <c r="N77" s="4">
        <v>0.05</v>
      </c>
      <c r="O77" s="29">
        <f t="shared" si="2"/>
        <v>210250000</v>
      </c>
      <c r="P77" s="29">
        <f t="shared" si="3"/>
        <v>333730158.7</v>
      </c>
      <c r="Q77" s="29">
        <f t="shared" si="4"/>
        <v>123480158.7</v>
      </c>
      <c r="R77" s="4">
        <v>0.075</v>
      </c>
      <c r="S77" s="29">
        <f t="shared" si="5"/>
        <v>241787500</v>
      </c>
      <c r="T77" s="29">
        <f t="shared" si="6"/>
        <v>383789682.5</v>
      </c>
      <c r="U77" s="29">
        <f t="shared" si="7"/>
        <v>142002182.5</v>
      </c>
      <c r="V77" s="4">
        <v>2024.0</v>
      </c>
      <c r="W77" s="5" t="s">
        <v>305</v>
      </c>
    </row>
    <row r="78" ht="14.25" customHeight="1">
      <c r="A78" s="2">
        <v>76.0</v>
      </c>
      <c r="B78" s="2" t="s">
        <v>306</v>
      </c>
      <c r="C78" s="2" t="s">
        <v>307</v>
      </c>
      <c r="D78" s="3">
        <v>4.3E9</v>
      </c>
      <c r="E78" s="2" t="s">
        <v>308</v>
      </c>
      <c r="F78" s="4" t="str">
        <f>VLOOKUP(B78,Raw_Data_Collection!$B$2:$F$215,5,FALSE)</f>
        <v>N</v>
      </c>
      <c r="G78" s="3" t="str">
        <f>VLOOKUP(B78,Raw_Data_Collection!$B$2:$J$215,6,FALSE)</f>
        <v/>
      </c>
      <c r="J78" s="2" t="str">
        <f>VLOOKUP(B78,Raw_Data_Collection!$B$2:$J$215,9,FALSE)</f>
        <v/>
      </c>
      <c r="K78" s="18">
        <f>VLOOKUP(B78,Real_Estate_Stats!$A$2:$G$215,7,FALSE)</f>
        <v>27349535.71</v>
      </c>
      <c r="L78" s="18">
        <f t="shared" si="1"/>
        <v>4272650464</v>
      </c>
      <c r="M78" s="4">
        <v>0.37</v>
      </c>
      <c r="N78" s="4">
        <v>0.05</v>
      </c>
      <c r="O78" s="29">
        <f t="shared" si="2"/>
        <v>213632523.2</v>
      </c>
      <c r="P78" s="29">
        <f t="shared" si="3"/>
        <v>339099243.2</v>
      </c>
      <c r="Q78" s="29">
        <f t="shared" si="4"/>
        <v>125466720</v>
      </c>
      <c r="R78" s="4">
        <v>0.075</v>
      </c>
      <c r="S78" s="29">
        <f t="shared" si="5"/>
        <v>245677401.7</v>
      </c>
      <c r="T78" s="29">
        <f t="shared" si="6"/>
        <v>389964129.7</v>
      </c>
      <c r="U78" s="29">
        <f t="shared" si="7"/>
        <v>144286728</v>
      </c>
    </row>
    <row r="79" ht="14.25" customHeight="1">
      <c r="A79" s="2">
        <v>77.0</v>
      </c>
      <c r="B79" s="2" t="s">
        <v>309</v>
      </c>
      <c r="C79" s="2" t="s">
        <v>307</v>
      </c>
      <c r="D79" s="3">
        <v>4.3E9</v>
      </c>
      <c r="E79" s="2" t="s">
        <v>80</v>
      </c>
      <c r="F79" s="4" t="str">
        <f>VLOOKUP(B79,Raw_Data_Collection!$B$2:$F$215,5,FALSE)</f>
        <v>N</v>
      </c>
      <c r="G79" s="3">
        <f>VLOOKUP(B79,Raw_Data_Collection!$B$2:$J$215,6,FALSE)</f>
        <v>11443465</v>
      </c>
      <c r="H79" s="5" t="s">
        <v>310</v>
      </c>
      <c r="I79" s="4">
        <v>2026.0</v>
      </c>
      <c r="J79" s="18">
        <f>VLOOKUP(B79,Raw_Data_Collection!$B$2:$J$215,9,FALSE)</f>
        <v>29825465</v>
      </c>
      <c r="K79" s="18">
        <f>VLOOKUP(B79,Real_Estate_Stats!$A$2:$G$215,7,FALSE)</f>
        <v>29825465</v>
      </c>
      <c r="L79" s="18">
        <f t="shared" si="1"/>
        <v>4270174535</v>
      </c>
      <c r="M79" s="4">
        <v>0.37</v>
      </c>
      <c r="N79" s="4">
        <v>0.05</v>
      </c>
      <c r="O79" s="29">
        <f t="shared" si="2"/>
        <v>213508726.8</v>
      </c>
      <c r="P79" s="29">
        <f t="shared" si="3"/>
        <v>338902740.9</v>
      </c>
      <c r="Q79" s="29">
        <f t="shared" si="4"/>
        <v>125394014.1</v>
      </c>
      <c r="R79" s="4">
        <v>0.075</v>
      </c>
      <c r="S79" s="29">
        <f t="shared" si="5"/>
        <v>245535035.8</v>
      </c>
      <c r="T79" s="29">
        <f t="shared" si="6"/>
        <v>389738152</v>
      </c>
      <c r="U79" s="29">
        <f t="shared" si="7"/>
        <v>144203116.2</v>
      </c>
      <c r="V79" s="4" t="s">
        <v>311</v>
      </c>
      <c r="W79" s="7" t="s">
        <v>720</v>
      </c>
      <c r="X79" s="7" t="s">
        <v>721</v>
      </c>
    </row>
    <row r="80" ht="14.25" customHeight="1">
      <c r="A80" s="2">
        <v>78.0</v>
      </c>
      <c r="B80" s="2" t="s">
        <v>314</v>
      </c>
      <c r="C80" s="2" t="s">
        <v>315</v>
      </c>
      <c r="D80" s="3">
        <v>4.1E9</v>
      </c>
      <c r="E80" s="2" t="s">
        <v>100</v>
      </c>
      <c r="F80" s="4" t="str">
        <f>VLOOKUP(B80,Raw_Data_Collection!$B$2:$F$215,5,FALSE)</f>
        <v>N</v>
      </c>
      <c r="G80" s="3" t="str">
        <f>VLOOKUP(B80,Raw_Data_Collection!$B$2:$J$215,6,FALSE)</f>
        <v/>
      </c>
      <c r="J80" s="2" t="str">
        <f>VLOOKUP(B80,Raw_Data_Collection!$B$2:$J$215,9,FALSE)</f>
        <v/>
      </c>
      <c r="K80" s="18">
        <f>VLOOKUP(B80,Real_Estate_Stats!$A$2:$G$215,7,FALSE)</f>
        <v>26077464.29</v>
      </c>
      <c r="L80" s="18">
        <f t="shared" si="1"/>
        <v>4073922536</v>
      </c>
      <c r="M80" s="4">
        <v>0.37</v>
      </c>
      <c r="N80" s="4">
        <v>0.05</v>
      </c>
      <c r="O80" s="29">
        <f t="shared" si="2"/>
        <v>203696126.8</v>
      </c>
      <c r="P80" s="29">
        <f t="shared" si="3"/>
        <v>323327185.4</v>
      </c>
      <c r="Q80" s="29">
        <f t="shared" si="4"/>
        <v>119631058.6</v>
      </c>
      <c r="R80" s="4">
        <v>0.075</v>
      </c>
      <c r="S80" s="29">
        <f t="shared" si="5"/>
        <v>234250545.8</v>
      </c>
      <c r="T80" s="29">
        <f t="shared" si="6"/>
        <v>371826263.2</v>
      </c>
      <c r="U80" s="29">
        <f t="shared" si="7"/>
        <v>137575717.4</v>
      </c>
    </row>
    <row r="81" ht="14.25" customHeight="1">
      <c r="A81" s="2">
        <v>79.0</v>
      </c>
      <c r="B81" s="2" t="s">
        <v>316</v>
      </c>
      <c r="C81" s="2" t="s">
        <v>317</v>
      </c>
      <c r="D81" s="3">
        <v>4.0E9</v>
      </c>
      <c r="E81" s="2" t="s">
        <v>24</v>
      </c>
      <c r="F81" s="4" t="str">
        <f>VLOOKUP(B81,Raw_Data_Collection!$B$2:$F$215,5,FALSE)</f>
        <v>N</v>
      </c>
      <c r="G81" s="3" t="str">
        <f>VLOOKUP(B81,Raw_Data_Collection!$B$2:$J$215,6,FALSE)</f>
        <v/>
      </c>
      <c r="J81" s="2" t="str">
        <f>VLOOKUP(B81,Raw_Data_Collection!$B$2:$J$215,9,FALSE)</f>
        <v/>
      </c>
      <c r="K81" s="18">
        <f>VLOOKUP(B81,Real_Estate_Stats!$A$2:$G$215,7,FALSE)</f>
        <v>25441428.57</v>
      </c>
      <c r="L81" s="18">
        <f t="shared" si="1"/>
        <v>3974558571</v>
      </c>
      <c r="M81" s="4">
        <v>0.37</v>
      </c>
      <c r="N81" s="4">
        <v>0.05</v>
      </c>
      <c r="O81" s="29">
        <f t="shared" si="2"/>
        <v>198727928.6</v>
      </c>
      <c r="P81" s="29">
        <f t="shared" si="3"/>
        <v>315441156.5</v>
      </c>
      <c r="Q81" s="29">
        <f t="shared" si="4"/>
        <v>116713227.9</v>
      </c>
      <c r="R81" s="4">
        <v>0.075</v>
      </c>
      <c r="S81" s="29">
        <f t="shared" si="5"/>
        <v>228537117.9</v>
      </c>
      <c r="T81" s="29">
        <f t="shared" si="6"/>
        <v>362757329.9</v>
      </c>
      <c r="U81" s="29">
        <f t="shared" si="7"/>
        <v>134220212.1</v>
      </c>
    </row>
    <row r="82" ht="14.25" customHeight="1">
      <c r="A82" s="2">
        <v>80.0</v>
      </c>
      <c r="B82" s="2" t="s">
        <v>319</v>
      </c>
      <c r="C82" s="2" t="s">
        <v>317</v>
      </c>
      <c r="D82" s="3">
        <v>4.0E9</v>
      </c>
      <c r="E82" s="2" t="s">
        <v>100</v>
      </c>
      <c r="F82" s="4" t="str">
        <f>VLOOKUP(B82,Raw_Data_Collection!$B$2:$F$215,5,FALSE)</f>
        <v>N</v>
      </c>
      <c r="G82" s="3" t="str">
        <f>VLOOKUP(B82,Raw_Data_Collection!$B$2:$J$215,6,FALSE)</f>
        <v/>
      </c>
      <c r="J82" s="2" t="str">
        <f>VLOOKUP(B82,Raw_Data_Collection!$B$2:$J$215,9,FALSE)</f>
        <v/>
      </c>
      <c r="K82" s="18">
        <f>VLOOKUP(B82,Real_Estate_Stats!$A$2:$G$215,7,FALSE)</f>
        <v>25441428.57</v>
      </c>
      <c r="L82" s="18">
        <f t="shared" si="1"/>
        <v>3974558571</v>
      </c>
      <c r="M82" s="4">
        <v>0.37</v>
      </c>
      <c r="N82" s="4">
        <v>0.05</v>
      </c>
      <c r="O82" s="29">
        <f t="shared" si="2"/>
        <v>198727928.6</v>
      </c>
      <c r="P82" s="29">
        <f t="shared" si="3"/>
        <v>315441156.5</v>
      </c>
      <c r="Q82" s="29">
        <f t="shared" si="4"/>
        <v>116713227.9</v>
      </c>
      <c r="R82" s="4">
        <v>0.075</v>
      </c>
      <c r="S82" s="29">
        <f t="shared" si="5"/>
        <v>228537117.9</v>
      </c>
      <c r="T82" s="29">
        <f t="shared" si="6"/>
        <v>362757329.9</v>
      </c>
      <c r="U82" s="29">
        <f t="shared" si="7"/>
        <v>134220212.1</v>
      </c>
    </row>
    <row r="83" ht="14.25" customHeight="1">
      <c r="A83" s="2">
        <v>81.0</v>
      </c>
      <c r="B83" s="2" t="s">
        <v>320</v>
      </c>
      <c r="C83" s="2" t="s">
        <v>321</v>
      </c>
      <c r="D83" s="3">
        <v>3.8E9</v>
      </c>
      <c r="E83" s="2" t="s">
        <v>47</v>
      </c>
      <c r="F83" s="4" t="str">
        <f>VLOOKUP(B83,Raw_Data_Collection!$B$2:$F$215,5,FALSE)</f>
        <v>N</v>
      </c>
      <c r="G83" s="3">
        <f>VLOOKUP(B83,Raw_Data_Collection!$B$2:$J$215,6,FALSE)</f>
        <v>50000000</v>
      </c>
      <c r="H83" s="8" t="s">
        <v>322</v>
      </c>
      <c r="I83" s="4">
        <v>2023.0</v>
      </c>
      <c r="J83" s="18">
        <f>VLOOKUP(B83,Raw_Data_Collection!$B$2:$J$215,9,FALSE)</f>
        <v>50000000</v>
      </c>
      <c r="K83" s="18">
        <f>VLOOKUP(B83,Real_Estate_Stats!$A$2:$G$215,7,FALSE)</f>
        <v>50000000</v>
      </c>
      <c r="L83" s="18">
        <f t="shared" si="1"/>
        <v>3750000000</v>
      </c>
      <c r="M83" s="4">
        <v>0.37</v>
      </c>
      <c r="N83" s="4">
        <v>0.05</v>
      </c>
      <c r="O83" s="29">
        <f t="shared" si="2"/>
        <v>187500000</v>
      </c>
      <c r="P83" s="29">
        <f t="shared" si="3"/>
        <v>297619047.6</v>
      </c>
      <c r="Q83" s="29">
        <f t="shared" si="4"/>
        <v>110119047.6</v>
      </c>
      <c r="R83" s="4">
        <v>0.075</v>
      </c>
      <c r="S83" s="29">
        <f t="shared" si="5"/>
        <v>215625000</v>
      </c>
      <c r="T83" s="29">
        <f t="shared" si="6"/>
        <v>342261904.8</v>
      </c>
      <c r="U83" s="29">
        <f t="shared" si="7"/>
        <v>126636904.8</v>
      </c>
      <c r="V83" s="4">
        <v>2023.0</v>
      </c>
      <c r="W83" s="8" t="s">
        <v>322</v>
      </c>
    </row>
    <row r="84" ht="14.25" customHeight="1">
      <c r="A84" s="2">
        <v>82.0</v>
      </c>
      <c r="B84" s="2" t="s">
        <v>323</v>
      </c>
      <c r="C84" s="2" t="s">
        <v>321</v>
      </c>
      <c r="D84" s="3">
        <v>3.8E9</v>
      </c>
      <c r="E84" s="2" t="s">
        <v>47</v>
      </c>
      <c r="F84" s="4" t="str">
        <f>VLOOKUP(B84,Raw_Data_Collection!$B$2:$F$215,5,FALSE)</f>
        <v>N</v>
      </c>
      <c r="G84" s="3">
        <f>VLOOKUP(B84,Raw_Data_Collection!$B$2:$J$215,6,FALSE)</f>
        <v>6500000</v>
      </c>
      <c r="H84" s="5" t="s">
        <v>324</v>
      </c>
      <c r="I84" s="4">
        <v>2020.0</v>
      </c>
      <c r="J84" s="18">
        <f>VLOOKUP(B84,Raw_Data_Collection!$B$2:$J$215,9,FALSE)</f>
        <v>6500000</v>
      </c>
      <c r="K84" s="18">
        <f>VLOOKUP(B84,Real_Estate_Stats!$A$2:$G$215,7,FALSE)</f>
        <v>6500000</v>
      </c>
      <c r="L84" s="18">
        <f t="shared" si="1"/>
        <v>3793500000</v>
      </c>
      <c r="M84" s="4">
        <v>0.37</v>
      </c>
      <c r="N84" s="4">
        <v>0.05</v>
      </c>
      <c r="O84" s="29">
        <f t="shared" si="2"/>
        <v>189675000</v>
      </c>
      <c r="P84" s="29">
        <f t="shared" si="3"/>
        <v>301071428.6</v>
      </c>
      <c r="Q84" s="29">
        <f t="shared" si="4"/>
        <v>111396428.6</v>
      </c>
      <c r="R84" s="4">
        <v>0.075</v>
      </c>
      <c r="S84" s="29">
        <f t="shared" si="5"/>
        <v>218126250</v>
      </c>
      <c r="T84" s="29">
        <f t="shared" si="6"/>
        <v>346232142.9</v>
      </c>
      <c r="U84" s="29">
        <f t="shared" si="7"/>
        <v>128105892.9</v>
      </c>
      <c r="V84" s="4">
        <v>2020.0</v>
      </c>
      <c r="W84" s="5" t="s">
        <v>324</v>
      </c>
      <c r="X84" s="4" t="s">
        <v>325</v>
      </c>
    </row>
    <row r="85" ht="14.25" customHeight="1">
      <c r="A85" s="2">
        <v>83.0</v>
      </c>
      <c r="B85" s="2" t="s">
        <v>326</v>
      </c>
      <c r="C85" s="2" t="s">
        <v>321</v>
      </c>
      <c r="D85" s="3">
        <v>3.8E9</v>
      </c>
      <c r="E85" s="2" t="s">
        <v>47</v>
      </c>
      <c r="F85" s="4" t="str">
        <f>VLOOKUP(B85,Raw_Data_Collection!$B$2:$F$215,5,FALSE)</f>
        <v>N</v>
      </c>
      <c r="G85" s="3">
        <f>VLOOKUP(B85,Raw_Data_Collection!$B$2:$J$215,6,FALSE)</f>
        <v>21000000</v>
      </c>
      <c r="H85" s="5" t="s">
        <v>327</v>
      </c>
      <c r="I85" s="4">
        <v>2020.0</v>
      </c>
      <c r="J85" s="2" t="str">
        <f>VLOOKUP(B85,Raw_Data_Collection!$B$2:$J$215,9,FALSE)</f>
        <v/>
      </c>
      <c r="K85" s="18">
        <f>VLOOKUP(B85,Real_Estate_Stats!$A$2:$G$215,7,FALSE)</f>
        <v>21000000</v>
      </c>
      <c r="L85" s="18">
        <f t="shared" si="1"/>
        <v>3779000000</v>
      </c>
      <c r="M85" s="4">
        <v>0.37</v>
      </c>
      <c r="N85" s="4">
        <v>0.05</v>
      </c>
      <c r="O85" s="29">
        <f t="shared" si="2"/>
        <v>188950000</v>
      </c>
      <c r="P85" s="29">
        <f t="shared" si="3"/>
        <v>299920634.9</v>
      </c>
      <c r="Q85" s="29">
        <f t="shared" si="4"/>
        <v>110970634.9</v>
      </c>
      <c r="R85" s="4">
        <v>0.075</v>
      </c>
      <c r="S85" s="29">
        <f t="shared" si="5"/>
        <v>217292500</v>
      </c>
      <c r="T85" s="29">
        <f t="shared" si="6"/>
        <v>344908730.2</v>
      </c>
      <c r="U85" s="29">
        <f t="shared" si="7"/>
        <v>127616230.2</v>
      </c>
      <c r="V85" s="4"/>
      <c r="W85" s="4"/>
    </row>
    <row r="86" ht="14.25" customHeight="1">
      <c r="A86" s="2">
        <v>84.0</v>
      </c>
      <c r="B86" s="2" t="s">
        <v>328</v>
      </c>
      <c r="C86" s="2" t="s">
        <v>321</v>
      </c>
      <c r="D86" s="3">
        <v>3.8E9</v>
      </c>
      <c r="E86" s="2" t="s">
        <v>329</v>
      </c>
      <c r="F86" s="4" t="str">
        <f>VLOOKUP(B86,Raw_Data_Collection!$B$2:$F$215,5,FALSE)</f>
        <v>N</v>
      </c>
      <c r="G86" s="3">
        <f>VLOOKUP(B86,Raw_Data_Collection!$B$2:$J$215,6,FALSE)</f>
        <v>1977425</v>
      </c>
      <c r="H86" s="5" t="s">
        <v>330</v>
      </c>
      <c r="I86" s="4">
        <v>2026.0</v>
      </c>
      <c r="J86" s="2" t="str">
        <f>VLOOKUP(B86,Raw_Data_Collection!$B$2:$J$215,9,FALSE)</f>
        <v/>
      </c>
      <c r="K86" s="18">
        <f>VLOOKUP(B86,Real_Estate_Stats!$A$2:$G$215,7,FALSE)</f>
        <v>1977425</v>
      </c>
      <c r="L86" s="18">
        <f t="shared" si="1"/>
        <v>3798022575</v>
      </c>
      <c r="M86" s="4">
        <v>0.37</v>
      </c>
      <c r="N86" s="4">
        <v>0.05</v>
      </c>
      <c r="O86" s="29">
        <f t="shared" si="2"/>
        <v>189901128.8</v>
      </c>
      <c r="P86" s="29">
        <f t="shared" si="3"/>
        <v>301430363.1</v>
      </c>
      <c r="Q86" s="29">
        <f t="shared" si="4"/>
        <v>111529234.3</v>
      </c>
      <c r="R86" s="4">
        <v>0.075</v>
      </c>
      <c r="S86" s="29">
        <f t="shared" si="5"/>
        <v>218386298.1</v>
      </c>
      <c r="T86" s="29">
        <f t="shared" si="6"/>
        <v>346644917.6</v>
      </c>
      <c r="U86" s="29">
        <f t="shared" si="7"/>
        <v>128258619.5</v>
      </c>
      <c r="V86" s="4"/>
      <c r="W86" s="4"/>
      <c r="X86" s="7" t="s">
        <v>722</v>
      </c>
    </row>
    <row r="87" ht="14.25" customHeight="1">
      <c r="A87" s="2">
        <v>85.0</v>
      </c>
      <c r="B87" s="2" t="s">
        <v>332</v>
      </c>
      <c r="C87" s="2" t="s">
        <v>333</v>
      </c>
      <c r="D87" s="3">
        <v>3.7E9</v>
      </c>
      <c r="E87" s="2" t="s">
        <v>100</v>
      </c>
      <c r="F87" s="4" t="str">
        <f>VLOOKUP(B87,Raw_Data_Collection!$B$2:$F$215,5,FALSE)</f>
        <v>N</v>
      </c>
      <c r="G87" s="3">
        <f>VLOOKUP(B87,Raw_Data_Collection!$B$2:$J$215,6,FALSE)</f>
        <v>29250000</v>
      </c>
      <c r="J87" s="2" t="str">
        <f>VLOOKUP(B87,Raw_Data_Collection!$B$2:$J$215,9,FALSE)</f>
        <v/>
      </c>
      <c r="K87" s="18">
        <f>VLOOKUP(B87,Real_Estate_Stats!$A$2:$G$215,7,FALSE)</f>
        <v>29250000</v>
      </c>
      <c r="L87" s="18">
        <f t="shared" si="1"/>
        <v>3670750000</v>
      </c>
      <c r="M87" s="4">
        <v>0.37</v>
      </c>
      <c r="N87" s="4">
        <v>0.05</v>
      </c>
      <c r="O87" s="29">
        <f t="shared" si="2"/>
        <v>183537500</v>
      </c>
      <c r="P87" s="29">
        <f t="shared" si="3"/>
        <v>291329365.1</v>
      </c>
      <c r="Q87" s="29">
        <f t="shared" si="4"/>
        <v>107791865.1</v>
      </c>
      <c r="R87" s="4">
        <v>0.075</v>
      </c>
      <c r="S87" s="29">
        <f t="shared" si="5"/>
        <v>211068125</v>
      </c>
      <c r="T87" s="29">
        <f t="shared" si="6"/>
        <v>335028769.8</v>
      </c>
      <c r="U87" s="29">
        <f t="shared" si="7"/>
        <v>123960644.8</v>
      </c>
    </row>
    <row r="88" ht="14.25" customHeight="1">
      <c r="A88" s="2">
        <v>86.0</v>
      </c>
      <c r="B88" s="2" t="s">
        <v>336</v>
      </c>
      <c r="C88" s="2" t="s">
        <v>333</v>
      </c>
      <c r="D88" s="3">
        <v>3.7E9</v>
      </c>
      <c r="E88" s="2" t="s">
        <v>47</v>
      </c>
      <c r="F88" s="4" t="str">
        <f>VLOOKUP(B88,Raw_Data_Collection!$B$2:$F$215,5,FALSE)</f>
        <v>N</v>
      </c>
      <c r="G88" s="3">
        <f>VLOOKUP(B88,Raw_Data_Collection!$B$2:$J$215,6,FALSE)</f>
        <v>30000000</v>
      </c>
      <c r="H88" s="5" t="s">
        <v>337</v>
      </c>
      <c r="I88" s="4">
        <v>2017.0</v>
      </c>
      <c r="J88" s="2" t="str">
        <f>VLOOKUP(B88,Raw_Data_Collection!$B$2:$J$215,9,FALSE)</f>
        <v/>
      </c>
      <c r="K88" s="18">
        <f>VLOOKUP(B88,Real_Estate_Stats!$A$2:$G$215,7,FALSE)</f>
        <v>30000000</v>
      </c>
      <c r="L88" s="18">
        <f t="shared" si="1"/>
        <v>3670000000</v>
      </c>
      <c r="M88" s="4">
        <v>0.37</v>
      </c>
      <c r="N88" s="4">
        <v>0.05</v>
      </c>
      <c r="O88" s="29">
        <f t="shared" si="2"/>
        <v>183500000</v>
      </c>
      <c r="P88" s="29">
        <f t="shared" si="3"/>
        <v>291269841.3</v>
      </c>
      <c r="Q88" s="29">
        <f t="shared" si="4"/>
        <v>107769841.3</v>
      </c>
      <c r="R88" s="4">
        <v>0.075</v>
      </c>
      <c r="S88" s="29">
        <f t="shared" si="5"/>
        <v>211025000</v>
      </c>
      <c r="T88" s="29">
        <f t="shared" si="6"/>
        <v>334960317.5</v>
      </c>
      <c r="U88" s="29">
        <f t="shared" si="7"/>
        <v>123935317.5</v>
      </c>
      <c r="V88" s="4"/>
      <c r="W88" s="4"/>
    </row>
    <row r="89" ht="14.25" customHeight="1">
      <c r="A89" s="2">
        <v>87.0</v>
      </c>
      <c r="B89" s="2" t="s">
        <v>338</v>
      </c>
      <c r="C89" s="2" t="s">
        <v>333</v>
      </c>
      <c r="D89" s="3">
        <v>3.7E9</v>
      </c>
      <c r="E89" s="2" t="s">
        <v>339</v>
      </c>
      <c r="F89" s="4" t="str">
        <f>VLOOKUP(B89,Raw_Data_Collection!$B$2:$F$215,5,FALSE)</f>
        <v>N</v>
      </c>
      <c r="G89" s="3" t="str">
        <f>VLOOKUP(B89,Raw_Data_Collection!$B$2:$J$215,6,FALSE)</f>
        <v/>
      </c>
      <c r="J89" s="2" t="str">
        <f>VLOOKUP(B89,Raw_Data_Collection!$B$2:$J$215,9,FALSE)</f>
        <v/>
      </c>
      <c r="K89" s="18">
        <f>VLOOKUP(B89,Real_Estate_Stats!$A$2:$G$215,7,FALSE)</f>
        <v>23533321.43</v>
      </c>
      <c r="L89" s="18">
        <f t="shared" si="1"/>
        <v>3676466679</v>
      </c>
      <c r="M89" s="4">
        <v>0.37</v>
      </c>
      <c r="N89" s="4">
        <v>0.05</v>
      </c>
      <c r="O89" s="29">
        <f t="shared" si="2"/>
        <v>183823333.9</v>
      </c>
      <c r="P89" s="29">
        <f t="shared" si="3"/>
        <v>291783069.7</v>
      </c>
      <c r="Q89" s="29">
        <f t="shared" si="4"/>
        <v>107959735.8</v>
      </c>
      <c r="R89" s="4">
        <v>0.075</v>
      </c>
      <c r="S89" s="29">
        <f t="shared" si="5"/>
        <v>211396834</v>
      </c>
      <c r="T89" s="29">
        <f t="shared" si="6"/>
        <v>335550530.2</v>
      </c>
      <c r="U89" s="29">
        <f t="shared" si="7"/>
        <v>124153696.2</v>
      </c>
    </row>
    <row r="90" ht="14.25" customHeight="1">
      <c r="A90" s="2">
        <v>88.0</v>
      </c>
      <c r="B90" s="2" t="s">
        <v>340</v>
      </c>
      <c r="C90" s="2" t="s">
        <v>333</v>
      </c>
      <c r="D90" s="3">
        <v>3.7E9</v>
      </c>
      <c r="E90" s="2" t="s">
        <v>100</v>
      </c>
      <c r="F90" s="4" t="str">
        <f>VLOOKUP(B90,Raw_Data_Collection!$B$2:$F$215,5,FALSE)</f>
        <v>N</v>
      </c>
      <c r="G90" s="3" t="str">
        <f>VLOOKUP(B90,Raw_Data_Collection!$B$2:$J$215,6,FALSE)</f>
        <v/>
      </c>
      <c r="J90" s="2" t="str">
        <f>VLOOKUP(B90,Raw_Data_Collection!$B$2:$J$215,9,FALSE)</f>
        <v/>
      </c>
      <c r="K90" s="18">
        <f>VLOOKUP(B90,Real_Estate_Stats!$A$2:$G$215,7,FALSE)</f>
        <v>23533321.43</v>
      </c>
      <c r="L90" s="18">
        <f t="shared" si="1"/>
        <v>3676466679</v>
      </c>
      <c r="M90" s="4">
        <v>0.37</v>
      </c>
      <c r="N90" s="4">
        <v>0.05</v>
      </c>
      <c r="O90" s="29">
        <f t="shared" si="2"/>
        <v>183823333.9</v>
      </c>
      <c r="P90" s="29">
        <f t="shared" si="3"/>
        <v>291783069.7</v>
      </c>
      <c r="Q90" s="29">
        <f t="shared" si="4"/>
        <v>107959735.8</v>
      </c>
      <c r="R90" s="4">
        <v>0.075</v>
      </c>
      <c r="S90" s="29">
        <f t="shared" si="5"/>
        <v>211396834</v>
      </c>
      <c r="T90" s="29">
        <f t="shared" si="6"/>
        <v>335550530.2</v>
      </c>
      <c r="U90" s="29">
        <f t="shared" si="7"/>
        <v>124153696.2</v>
      </c>
    </row>
    <row r="91" ht="14.25" customHeight="1">
      <c r="A91" s="2">
        <v>89.0</v>
      </c>
      <c r="B91" s="2" t="s">
        <v>341</v>
      </c>
      <c r="C91" s="2" t="s">
        <v>333</v>
      </c>
      <c r="D91" s="3">
        <v>3.7E9</v>
      </c>
      <c r="E91" s="2" t="s">
        <v>100</v>
      </c>
      <c r="F91" s="4" t="str">
        <f>VLOOKUP(B91,Raw_Data_Collection!$B$2:$F$215,5,FALSE)</f>
        <v>N</v>
      </c>
      <c r="G91" s="3">
        <f>VLOOKUP(B91,Raw_Data_Collection!$B$2:$J$215,6,FALSE)</f>
        <v>2572000</v>
      </c>
      <c r="J91" s="2" t="str">
        <f>VLOOKUP(B91,Raw_Data_Collection!$B$2:$J$215,9,FALSE)</f>
        <v/>
      </c>
      <c r="K91" s="18">
        <f>VLOOKUP(B91,Real_Estate_Stats!$A$2:$G$215,7,FALSE)</f>
        <v>2572000</v>
      </c>
      <c r="L91" s="18">
        <f t="shared" si="1"/>
        <v>3697428000</v>
      </c>
      <c r="M91" s="4">
        <v>0.37</v>
      </c>
      <c r="N91" s="4">
        <v>0.05</v>
      </c>
      <c r="O91" s="29">
        <f t="shared" si="2"/>
        <v>184871400</v>
      </c>
      <c r="P91" s="29">
        <f t="shared" si="3"/>
        <v>293446666.7</v>
      </c>
      <c r="Q91" s="29">
        <f t="shared" si="4"/>
        <v>108575266.7</v>
      </c>
      <c r="R91" s="4">
        <v>0.075</v>
      </c>
      <c r="S91" s="29">
        <f t="shared" si="5"/>
        <v>212602110</v>
      </c>
      <c r="T91" s="29">
        <f t="shared" si="6"/>
        <v>337463666.7</v>
      </c>
      <c r="U91" s="29">
        <f t="shared" si="7"/>
        <v>124861556.7</v>
      </c>
    </row>
    <row r="92" ht="14.25" customHeight="1">
      <c r="A92" s="2">
        <v>90.0</v>
      </c>
      <c r="B92" s="2" t="s">
        <v>344</v>
      </c>
      <c r="C92" s="2" t="s">
        <v>333</v>
      </c>
      <c r="D92" s="3">
        <v>3.7E9</v>
      </c>
      <c r="F92" s="4" t="str">
        <f>VLOOKUP(B92,Raw_Data_Collection!$B$2:$F$215,5,FALSE)</f>
        <v>N</v>
      </c>
      <c r="G92" s="3" t="str">
        <f>VLOOKUP(B92,Raw_Data_Collection!$B$2:$J$215,6,FALSE)</f>
        <v/>
      </c>
      <c r="J92" s="2" t="str">
        <f>VLOOKUP(B92,Raw_Data_Collection!$B$2:$J$215,9,FALSE)</f>
        <v/>
      </c>
      <c r="K92" s="18">
        <f>VLOOKUP(B92,Real_Estate_Stats!$A$2:$G$215,7,FALSE)</f>
        <v>23533321.43</v>
      </c>
      <c r="L92" s="18">
        <f t="shared" si="1"/>
        <v>3676466679</v>
      </c>
      <c r="M92" s="4">
        <v>0.37</v>
      </c>
      <c r="N92" s="4">
        <v>0.05</v>
      </c>
      <c r="O92" s="29">
        <f t="shared" si="2"/>
        <v>183823333.9</v>
      </c>
      <c r="P92" s="29">
        <f t="shared" si="3"/>
        <v>291783069.7</v>
      </c>
      <c r="Q92" s="29">
        <f t="shared" si="4"/>
        <v>107959735.8</v>
      </c>
      <c r="R92" s="4">
        <v>0.075</v>
      </c>
      <c r="S92" s="29">
        <f t="shared" si="5"/>
        <v>211396834</v>
      </c>
      <c r="T92" s="29">
        <f t="shared" si="6"/>
        <v>335550530.2</v>
      </c>
      <c r="U92" s="29">
        <f t="shared" si="7"/>
        <v>124153696.2</v>
      </c>
    </row>
    <row r="93" ht="14.25" customHeight="1">
      <c r="A93" s="2">
        <v>91.0</v>
      </c>
      <c r="B93" s="2" t="s">
        <v>345</v>
      </c>
      <c r="C93" s="2" t="s">
        <v>333</v>
      </c>
      <c r="D93" s="3">
        <v>3.7E9</v>
      </c>
      <c r="E93" s="2" t="s">
        <v>100</v>
      </c>
      <c r="F93" s="4" t="str">
        <f>VLOOKUP(B93,Raw_Data_Collection!$B$2:$F$215,5,FALSE)</f>
        <v>N</v>
      </c>
      <c r="G93" s="3">
        <f>VLOOKUP(B93,Raw_Data_Collection!$B$2:$J$215,6,FALSE)</f>
        <v>4831145</v>
      </c>
      <c r="J93" s="2" t="str">
        <f>VLOOKUP(B93,Raw_Data_Collection!$B$2:$J$215,9,FALSE)</f>
        <v/>
      </c>
      <c r="K93" s="18">
        <f>VLOOKUP(B93,Real_Estate_Stats!$A$2:$G$215,7,FALSE)</f>
        <v>4831145</v>
      </c>
      <c r="L93" s="18">
        <f t="shared" si="1"/>
        <v>3695168855</v>
      </c>
      <c r="M93" s="4">
        <v>0.37</v>
      </c>
      <c r="N93" s="4">
        <v>0.05</v>
      </c>
      <c r="O93" s="29">
        <f t="shared" si="2"/>
        <v>184758442.8</v>
      </c>
      <c r="P93" s="29">
        <f t="shared" si="3"/>
        <v>293267369.4</v>
      </c>
      <c r="Q93" s="29">
        <f t="shared" si="4"/>
        <v>108508926.7</v>
      </c>
      <c r="R93" s="4">
        <v>0.075</v>
      </c>
      <c r="S93" s="29">
        <f t="shared" si="5"/>
        <v>212472209.2</v>
      </c>
      <c r="T93" s="29">
        <f t="shared" si="6"/>
        <v>337257474.9</v>
      </c>
      <c r="U93" s="29">
        <f t="shared" si="7"/>
        <v>124785265.7</v>
      </c>
    </row>
    <row r="94" ht="14.25" customHeight="1">
      <c r="A94" s="2">
        <v>92.0</v>
      </c>
      <c r="B94" s="2" t="s">
        <v>348</v>
      </c>
      <c r="C94" s="2" t="s">
        <v>333</v>
      </c>
      <c r="D94" s="3">
        <v>3.7E9</v>
      </c>
      <c r="E94" s="2" t="s">
        <v>100</v>
      </c>
      <c r="F94" s="4" t="str">
        <f>VLOOKUP(B94,Raw_Data_Collection!$B$2:$F$215,5,FALSE)</f>
        <v>N</v>
      </c>
      <c r="G94" s="3" t="str">
        <f>VLOOKUP(B94,Raw_Data_Collection!$B$2:$J$215,6,FALSE)</f>
        <v/>
      </c>
      <c r="J94" s="2" t="str">
        <f>VLOOKUP(B94,Raw_Data_Collection!$B$2:$J$215,9,FALSE)</f>
        <v/>
      </c>
      <c r="K94" s="18">
        <f>VLOOKUP(B94,Real_Estate_Stats!$A$2:$G$215,7,FALSE)</f>
        <v>23533321.43</v>
      </c>
      <c r="L94" s="18">
        <f t="shared" si="1"/>
        <v>3676466679</v>
      </c>
      <c r="M94" s="4">
        <v>0.37</v>
      </c>
      <c r="N94" s="4">
        <v>0.05</v>
      </c>
      <c r="O94" s="29">
        <f t="shared" si="2"/>
        <v>183823333.9</v>
      </c>
      <c r="P94" s="29">
        <f t="shared" si="3"/>
        <v>291783069.7</v>
      </c>
      <c r="Q94" s="29">
        <f t="shared" si="4"/>
        <v>107959735.8</v>
      </c>
      <c r="R94" s="4">
        <v>0.075</v>
      </c>
      <c r="S94" s="29">
        <f t="shared" si="5"/>
        <v>211396834</v>
      </c>
      <c r="T94" s="29">
        <f t="shared" si="6"/>
        <v>335550530.2</v>
      </c>
      <c r="U94" s="29">
        <f t="shared" si="7"/>
        <v>124153696.2</v>
      </c>
    </row>
    <row r="95" ht="14.25" customHeight="1">
      <c r="A95" s="2">
        <v>93.0</v>
      </c>
      <c r="B95" s="2" t="s">
        <v>349</v>
      </c>
      <c r="C95" s="2" t="s">
        <v>350</v>
      </c>
      <c r="D95" s="3">
        <v>3.6E9</v>
      </c>
      <c r="E95" s="2" t="s">
        <v>47</v>
      </c>
      <c r="F95" s="4" t="str">
        <f>VLOOKUP(B95,Raw_Data_Collection!$B$2:$F$215,5,FALSE)</f>
        <v>N</v>
      </c>
      <c r="G95" s="3">
        <f>VLOOKUP(B95,Raw_Data_Collection!$B$2:$J$215,6,FALSE)</f>
        <v>12982483</v>
      </c>
      <c r="H95" s="5" t="s">
        <v>351</v>
      </c>
      <c r="I95" s="4">
        <v>2026.0</v>
      </c>
      <c r="J95" s="2" t="str">
        <f>VLOOKUP(B95,Raw_Data_Collection!$B$2:$J$215,9,FALSE)</f>
        <v/>
      </c>
      <c r="K95" s="18">
        <f>VLOOKUP(B95,Real_Estate_Stats!$A$2:$G$215,7,FALSE)</f>
        <v>12982483</v>
      </c>
      <c r="L95" s="18">
        <f t="shared" si="1"/>
        <v>3587017517</v>
      </c>
      <c r="M95" s="4">
        <v>0.37</v>
      </c>
      <c r="N95" s="4">
        <v>0.05</v>
      </c>
      <c r="O95" s="29">
        <f t="shared" si="2"/>
        <v>179350875.9</v>
      </c>
      <c r="P95" s="29">
        <f t="shared" si="3"/>
        <v>284683929.9</v>
      </c>
      <c r="Q95" s="29">
        <f t="shared" si="4"/>
        <v>105333054.1</v>
      </c>
      <c r="R95" s="4">
        <v>0.075</v>
      </c>
      <c r="S95" s="29">
        <f t="shared" si="5"/>
        <v>206253507.2</v>
      </c>
      <c r="T95" s="29">
        <f t="shared" si="6"/>
        <v>327386519.4</v>
      </c>
      <c r="U95" s="29">
        <f t="shared" si="7"/>
        <v>121133012.2</v>
      </c>
      <c r="V95" s="4"/>
      <c r="W95" s="4"/>
      <c r="X95" s="10" t="s">
        <v>723</v>
      </c>
    </row>
    <row r="96" ht="14.25" customHeight="1">
      <c r="A96" s="2">
        <v>94.0</v>
      </c>
      <c r="B96" s="2" t="s">
        <v>353</v>
      </c>
      <c r="C96" s="2" t="s">
        <v>350</v>
      </c>
      <c r="D96" s="3">
        <v>3.6E9</v>
      </c>
      <c r="E96" s="2" t="s">
        <v>354</v>
      </c>
      <c r="F96" s="4" t="str">
        <f>VLOOKUP(B96,Raw_Data_Collection!$B$2:$F$215,5,FALSE)</f>
        <v>N</v>
      </c>
      <c r="G96" s="3" t="str">
        <f>VLOOKUP(B96,Raw_Data_Collection!$B$2:$J$215,6,FALSE)</f>
        <v/>
      </c>
      <c r="J96" s="2" t="str">
        <f>VLOOKUP(B96,Raw_Data_Collection!$B$2:$J$215,9,FALSE)</f>
        <v/>
      </c>
      <c r="K96" s="18">
        <f>VLOOKUP(B96,Real_Estate_Stats!$A$2:$G$215,7,FALSE)</f>
        <v>22897285.71</v>
      </c>
      <c r="L96" s="18">
        <f t="shared" si="1"/>
        <v>3577102714</v>
      </c>
      <c r="M96" s="4">
        <v>0.37</v>
      </c>
      <c r="N96" s="4">
        <v>0.05</v>
      </c>
      <c r="O96" s="29">
        <f t="shared" si="2"/>
        <v>178855135.7</v>
      </c>
      <c r="P96" s="29">
        <f t="shared" si="3"/>
        <v>283897040.8</v>
      </c>
      <c r="Q96" s="29">
        <f t="shared" si="4"/>
        <v>105041905.1</v>
      </c>
      <c r="R96" s="4">
        <v>0.075</v>
      </c>
      <c r="S96" s="29">
        <f t="shared" si="5"/>
        <v>205683406.1</v>
      </c>
      <c r="T96" s="29">
        <f t="shared" si="6"/>
        <v>326481596.9</v>
      </c>
      <c r="U96" s="29">
        <f t="shared" si="7"/>
        <v>120798190.9</v>
      </c>
    </row>
    <row r="97" ht="14.25" customHeight="1">
      <c r="A97" s="2">
        <v>95.0</v>
      </c>
      <c r="B97" s="2" t="s">
        <v>355</v>
      </c>
      <c r="C97" s="2" t="s">
        <v>350</v>
      </c>
      <c r="D97" s="3">
        <v>3.6E9</v>
      </c>
      <c r="E97" s="2" t="s">
        <v>17</v>
      </c>
      <c r="F97" s="4" t="str">
        <f>VLOOKUP(B97,Raw_Data_Collection!$B$2:$F$215,5,FALSE)</f>
        <v>N</v>
      </c>
      <c r="G97" s="3">
        <f>VLOOKUP(B97,Raw_Data_Collection!$B$2:$J$215,6,FALSE)</f>
        <v>13784748</v>
      </c>
      <c r="H97" s="5" t="s">
        <v>356</v>
      </c>
      <c r="I97" s="4">
        <v>2026.0</v>
      </c>
      <c r="J97" s="2" t="str">
        <f>VLOOKUP(B97,Raw_Data_Collection!$B$2:$J$215,9,FALSE)</f>
        <v/>
      </c>
      <c r="K97" s="18">
        <f>VLOOKUP(B97,Real_Estate_Stats!$A$2:$G$215,7,FALSE)</f>
        <v>13784748</v>
      </c>
      <c r="L97" s="18">
        <f t="shared" si="1"/>
        <v>3586215252</v>
      </c>
      <c r="M97" s="4">
        <v>0.37</v>
      </c>
      <c r="N97" s="4">
        <v>0.05</v>
      </c>
      <c r="O97" s="29">
        <f t="shared" si="2"/>
        <v>179310762.6</v>
      </c>
      <c r="P97" s="29">
        <f t="shared" si="3"/>
        <v>284620258.1</v>
      </c>
      <c r="Q97" s="29">
        <f t="shared" si="4"/>
        <v>105309495.5</v>
      </c>
      <c r="R97" s="4">
        <v>0.075</v>
      </c>
      <c r="S97" s="29">
        <f t="shared" si="5"/>
        <v>206207377</v>
      </c>
      <c r="T97" s="29">
        <f t="shared" si="6"/>
        <v>327313296.8</v>
      </c>
      <c r="U97" s="29">
        <f t="shared" si="7"/>
        <v>121105919.8</v>
      </c>
      <c r="V97" s="4"/>
      <c r="W97" s="4"/>
      <c r="X97" s="10" t="s">
        <v>724</v>
      </c>
    </row>
    <row r="98" ht="14.25" customHeight="1">
      <c r="A98" s="2">
        <v>96.0</v>
      </c>
      <c r="B98" s="2" t="s">
        <v>358</v>
      </c>
      <c r="C98" s="2" t="s">
        <v>359</v>
      </c>
      <c r="D98" s="3">
        <v>3.5E9</v>
      </c>
      <c r="E98" s="2" t="s">
        <v>17</v>
      </c>
      <c r="F98" s="4" t="str">
        <f>VLOOKUP(B98,Raw_Data_Collection!$B$2:$F$215,5,FALSE)</f>
        <v>N</v>
      </c>
      <c r="G98" s="3" t="str">
        <f>VLOOKUP(B98,Raw_Data_Collection!$B$2:$J$215,6,FALSE)</f>
        <v/>
      </c>
      <c r="J98" s="2" t="str">
        <f>VLOOKUP(B98,Raw_Data_Collection!$B$2:$J$215,9,FALSE)</f>
        <v/>
      </c>
      <c r="K98" s="18">
        <f>VLOOKUP(B98,Real_Estate_Stats!$A$2:$G$215,7,FALSE)</f>
        <v>22261250</v>
      </c>
      <c r="L98" s="18">
        <f t="shared" si="1"/>
        <v>3477738750</v>
      </c>
      <c r="M98" s="4">
        <v>0.37</v>
      </c>
      <c r="N98" s="4">
        <v>0.05</v>
      </c>
      <c r="O98" s="29">
        <f t="shared" si="2"/>
        <v>173886937.5</v>
      </c>
      <c r="P98" s="29">
        <f t="shared" si="3"/>
        <v>276011011.9</v>
      </c>
      <c r="Q98" s="29">
        <f t="shared" si="4"/>
        <v>102124074.4</v>
      </c>
      <c r="R98" s="4">
        <v>0.075</v>
      </c>
      <c r="S98" s="29">
        <f t="shared" si="5"/>
        <v>199969978.1</v>
      </c>
      <c r="T98" s="29">
        <f t="shared" si="6"/>
        <v>317412663.7</v>
      </c>
      <c r="U98" s="29">
        <f t="shared" si="7"/>
        <v>117442685.6</v>
      </c>
    </row>
    <row r="99" ht="14.25" customHeight="1">
      <c r="A99" s="2">
        <v>97.0</v>
      </c>
      <c r="B99" s="2" t="s">
        <v>360</v>
      </c>
      <c r="C99" s="2" t="s">
        <v>359</v>
      </c>
      <c r="D99" s="3">
        <v>3.5E9</v>
      </c>
      <c r="E99" s="2" t="s">
        <v>17</v>
      </c>
      <c r="F99" s="4" t="str">
        <f>VLOOKUP(B99,Raw_Data_Collection!$B$2:$F$215,5,FALSE)</f>
        <v>N</v>
      </c>
      <c r="G99" s="3">
        <f>VLOOKUP(B99,Raw_Data_Collection!$B$2:$J$215,6,FALSE)</f>
        <v>86000000</v>
      </c>
      <c r="H99" s="5" t="s">
        <v>361</v>
      </c>
      <c r="I99" s="4">
        <v>2019.0</v>
      </c>
      <c r="J99" s="2" t="str">
        <f>VLOOKUP(B99,Raw_Data_Collection!$B$2:$J$215,9,FALSE)</f>
        <v/>
      </c>
      <c r="K99" s="18">
        <f>VLOOKUP(B99,Real_Estate_Stats!$A$2:$G$215,7,FALSE)</f>
        <v>86000000</v>
      </c>
      <c r="L99" s="18">
        <f t="shared" si="1"/>
        <v>3414000000</v>
      </c>
      <c r="M99" s="4">
        <v>0.37</v>
      </c>
      <c r="N99" s="4">
        <v>0.05</v>
      </c>
      <c r="O99" s="29">
        <f t="shared" si="2"/>
        <v>170700000</v>
      </c>
      <c r="P99" s="29">
        <f t="shared" si="3"/>
        <v>270952381</v>
      </c>
      <c r="Q99" s="29">
        <f t="shared" si="4"/>
        <v>100252381</v>
      </c>
      <c r="R99" s="4">
        <v>0.075</v>
      </c>
      <c r="S99" s="29">
        <f t="shared" si="5"/>
        <v>196305000</v>
      </c>
      <c r="T99" s="29">
        <f t="shared" si="6"/>
        <v>311595238.1</v>
      </c>
      <c r="U99" s="29">
        <f t="shared" si="7"/>
        <v>115290238.1</v>
      </c>
      <c r="V99" s="4"/>
      <c r="W99" s="4"/>
      <c r="X99" s="4" t="s">
        <v>362</v>
      </c>
    </row>
    <row r="100" ht="14.25" customHeight="1">
      <c r="A100" s="2">
        <v>98.0</v>
      </c>
      <c r="B100" s="2" t="s">
        <v>363</v>
      </c>
      <c r="C100" s="2" t="s">
        <v>359</v>
      </c>
      <c r="D100" s="3">
        <v>3.5E9</v>
      </c>
      <c r="E100" s="2" t="s">
        <v>47</v>
      </c>
      <c r="F100" s="4" t="str">
        <f>VLOOKUP(B100,Raw_Data_Collection!$B$2:$F$215,5,FALSE)</f>
        <v>N</v>
      </c>
      <c r="G100" s="3">
        <f>VLOOKUP(B100,Raw_Data_Collection!$B$2:$J$215,6,FALSE)</f>
        <v>43300000</v>
      </c>
      <c r="H100" s="5" t="s">
        <v>364</v>
      </c>
      <c r="I100" s="4">
        <v>2020.0</v>
      </c>
      <c r="J100" s="2" t="str">
        <f>VLOOKUP(B100,Raw_Data_Collection!$B$2:$J$215,9,FALSE)</f>
        <v/>
      </c>
      <c r="K100" s="18">
        <f>VLOOKUP(B100,Real_Estate_Stats!$A$2:$G$215,7,FALSE)</f>
        <v>43300000</v>
      </c>
      <c r="L100" s="18">
        <f t="shared" si="1"/>
        <v>3456700000</v>
      </c>
      <c r="M100" s="4">
        <v>0.37</v>
      </c>
      <c r="N100" s="4">
        <v>0.05</v>
      </c>
      <c r="O100" s="29">
        <f t="shared" si="2"/>
        <v>172835000</v>
      </c>
      <c r="P100" s="29">
        <f t="shared" si="3"/>
        <v>274341269.8</v>
      </c>
      <c r="Q100" s="29">
        <f t="shared" si="4"/>
        <v>101506269.8</v>
      </c>
      <c r="R100" s="4">
        <v>0.075</v>
      </c>
      <c r="S100" s="29">
        <f t="shared" si="5"/>
        <v>198760250</v>
      </c>
      <c r="T100" s="29">
        <f t="shared" si="6"/>
        <v>315492460.3</v>
      </c>
      <c r="U100" s="29">
        <f t="shared" si="7"/>
        <v>116732210.3</v>
      </c>
      <c r="V100" s="4"/>
      <c r="W100" s="4"/>
      <c r="Y100" s="5" t="s">
        <v>171</v>
      </c>
    </row>
    <row r="101" ht="14.25" customHeight="1">
      <c r="A101" s="2">
        <v>99.0</v>
      </c>
      <c r="B101" s="2" t="s">
        <v>365</v>
      </c>
      <c r="C101" s="2" t="s">
        <v>359</v>
      </c>
      <c r="D101" s="3">
        <v>3.5E9</v>
      </c>
      <c r="E101" s="2" t="s">
        <v>52</v>
      </c>
      <c r="F101" s="4" t="str">
        <f>VLOOKUP(B101,Raw_Data_Collection!$B$2:$F$215,5,FALSE)</f>
        <v>N</v>
      </c>
      <c r="G101" s="3">
        <f>VLOOKUP(B101,Raw_Data_Collection!$B$2:$J$215,6,FALSE)</f>
        <v>12500000</v>
      </c>
      <c r="H101" s="5" t="s">
        <v>366</v>
      </c>
      <c r="I101" s="4">
        <v>2024.0</v>
      </c>
      <c r="J101" s="2" t="str">
        <f>VLOOKUP(B101,Raw_Data_Collection!$B$2:$J$215,9,FALSE)</f>
        <v/>
      </c>
      <c r="K101" s="18">
        <f>VLOOKUP(B101,Real_Estate_Stats!$A$2:$G$215,7,FALSE)</f>
        <v>12500000</v>
      </c>
      <c r="L101" s="18">
        <f t="shared" si="1"/>
        <v>3487500000</v>
      </c>
      <c r="M101" s="4">
        <v>0.37</v>
      </c>
      <c r="N101" s="4">
        <v>0.05</v>
      </c>
      <c r="O101" s="29">
        <f t="shared" si="2"/>
        <v>174375000</v>
      </c>
      <c r="P101" s="29">
        <f t="shared" si="3"/>
        <v>276785714.3</v>
      </c>
      <c r="Q101" s="29">
        <f t="shared" si="4"/>
        <v>102410714.3</v>
      </c>
      <c r="R101" s="4">
        <v>0.075</v>
      </c>
      <c r="S101" s="29">
        <f t="shared" si="5"/>
        <v>200531250</v>
      </c>
      <c r="T101" s="29">
        <f t="shared" si="6"/>
        <v>318303571.4</v>
      </c>
      <c r="U101" s="29">
        <f t="shared" si="7"/>
        <v>117772321.4</v>
      </c>
      <c r="V101" s="4"/>
      <c r="W101" s="4"/>
      <c r="X101" s="4" t="s">
        <v>367</v>
      </c>
      <c r="Y101" s="5" t="s">
        <v>368</v>
      </c>
    </row>
    <row r="102" ht="14.25" customHeight="1">
      <c r="A102" s="2">
        <v>100.0</v>
      </c>
      <c r="B102" s="2" t="s">
        <v>369</v>
      </c>
      <c r="C102" s="2" t="s">
        <v>370</v>
      </c>
      <c r="D102" s="3">
        <v>3.4E9</v>
      </c>
      <c r="E102" s="2" t="s">
        <v>100</v>
      </c>
      <c r="F102" s="4" t="str">
        <f>VLOOKUP(B102,Raw_Data_Collection!$B$2:$F$215,5,FALSE)</f>
        <v>N</v>
      </c>
      <c r="G102" s="3" t="str">
        <f>VLOOKUP(B102,Raw_Data_Collection!$B$2:$J$215,6,FALSE)</f>
        <v/>
      </c>
      <c r="J102" s="2" t="str">
        <f>VLOOKUP(B102,Raw_Data_Collection!$B$2:$J$215,9,FALSE)</f>
        <v/>
      </c>
      <c r="K102" s="18">
        <f>VLOOKUP(B102,Real_Estate_Stats!$A$2:$G$215,7,FALSE)</f>
        <v>21625214.29</v>
      </c>
      <c r="L102" s="18">
        <f t="shared" si="1"/>
        <v>3378374786</v>
      </c>
      <c r="M102" s="4">
        <v>0.37</v>
      </c>
      <c r="N102" s="4">
        <v>0.05</v>
      </c>
      <c r="O102" s="29">
        <f t="shared" si="2"/>
        <v>168918739.3</v>
      </c>
      <c r="P102" s="29">
        <f t="shared" si="3"/>
        <v>268124983</v>
      </c>
      <c r="Q102" s="29">
        <f t="shared" si="4"/>
        <v>99206243.71</v>
      </c>
      <c r="R102" s="4">
        <v>0.075</v>
      </c>
      <c r="S102" s="29">
        <f t="shared" si="5"/>
        <v>194256550.2</v>
      </c>
      <c r="T102" s="29">
        <f t="shared" si="6"/>
        <v>308343730.4</v>
      </c>
      <c r="U102" s="29">
        <f t="shared" si="7"/>
        <v>114087180.3</v>
      </c>
      <c r="Y102" s="5" t="s">
        <v>171</v>
      </c>
    </row>
    <row r="103" ht="14.25" customHeight="1">
      <c r="A103" s="2">
        <v>101.0</v>
      </c>
      <c r="B103" s="2" t="s">
        <v>371</v>
      </c>
      <c r="C103" s="2" t="s">
        <v>372</v>
      </c>
      <c r="D103" s="3">
        <v>3.3E9</v>
      </c>
      <c r="E103" s="2" t="s">
        <v>329</v>
      </c>
      <c r="F103" s="4" t="str">
        <f>VLOOKUP(B103,Raw_Data_Collection!$B$2:$F$215,5,FALSE)</f>
        <v>N</v>
      </c>
      <c r="G103" s="3">
        <f>VLOOKUP(B103,Raw_Data_Collection!$B$2:$J$215,6,FALSE)</f>
        <v>10243300</v>
      </c>
      <c r="J103" s="2" t="str">
        <f>VLOOKUP(B103,Raw_Data_Collection!$B$2:$J$215,9,FALSE)</f>
        <v/>
      </c>
      <c r="K103" s="18">
        <f>VLOOKUP(B103,Real_Estate_Stats!$A$2:$G$215,7,FALSE)</f>
        <v>10243300</v>
      </c>
      <c r="L103" s="18">
        <f t="shared" si="1"/>
        <v>3289756700</v>
      </c>
      <c r="M103" s="4">
        <v>0.37</v>
      </c>
      <c r="N103" s="4">
        <v>0.05</v>
      </c>
      <c r="O103" s="29">
        <f t="shared" si="2"/>
        <v>164487835</v>
      </c>
      <c r="P103" s="29">
        <f t="shared" si="3"/>
        <v>261091801.6</v>
      </c>
      <c r="Q103" s="29">
        <f t="shared" si="4"/>
        <v>96603966.59</v>
      </c>
      <c r="R103" s="4">
        <v>0.075</v>
      </c>
      <c r="S103" s="29">
        <f t="shared" si="5"/>
        <v>189161010.3</v>
      </c>
      <c r="T103" s="29">
        <f t="shared" si="6"/>
        <v>300255571.8</v>
      </c>
      <c r="U103" s="29">
        <f t="shared" si="7"/>
        <v>111094561.6</v>
      </c>
    </row>
    <row r="104" ht="14.25" customHeight="1">
      <c r="A104" s="2">
        <v>102.0</v>
      </c>
      <c r="B104" s="2" t="s">
        <v>375</v>
      </c>
      <c r="C104" s="2" t="s">
        <v>376</v>
      </c>
      <c r="D104" s="3">
        <v>3.2E9</v>
      </c>
      <c r="E104" s="2" t="s">
        <v>52</v>
      </c>
      <c r="F104" s="4" t="str">
        <f>VLOOKUP(B104,Raw_Data_Collection!$B$2:$F$215,5,FALSE)</f>
        <v>N</v>
      </c>
      <c r="G104" s="3">
        <f>VLOOKUP(B104,Raw_Data_Collection!$B$2:$J$215,6,FALSE)</f>
        <v>42000000</v>
      </c>
      <c r="J104" s="2" t="str">
        <f>VLOOKUP(B104,Raw_Data_Collection!$B$2:$J$215,9,FALSE)</f>
        <v/>
      </c>
      <c r="K104" s="18">
        <f>VLOOKUP(B104,Real_Estate_Stats!$A$2:$G$215,7,FALSE)</f>
        <v>42000000</v>
      </c>
      <c r="L104" s="18">
        <f t="shared" si="1"/>
        <v>3158000000</v>
      </c>
      <c r="M104" s="4">
        <v>0.37</v>
      </c>
      <c r="N104" s="4">
        <v>0.05</v>
      </c>
      <c r="O104" s="29">
        <f t="shared" si="2"/>
        <v>157900000</v>
      </c>
      <c r="P104" s="29">
        <f t="shared" si="3"/>
        <v>250634920.6</v>
      </c>
      <c r="Q104" s="29">
        <f t="shared" si="4"/>
        <v>92734920.63</v>
      </c>
      <c r="R104" s="4">
        <v>0.075</v>
      </c>
      <c r="S104" s="29">
        <f t="shared" si="5"/>
        <v>181585000</v>
      </c>
      <c r="T104" s="29">
        <f t="shared" si="6"/>
        <v>288230158.7</v>
      </c>
      <c r="U104" s="29">
        <f t="shared" si="7"/>
        <v>106645158.7</v>
      </c>
    </row>
    <row r="105" ht="14.25" customHeight="1">
      <c r="A105" s="2">
        <v>103.0</v>
      </c>
      <c r="B105" s="2" t="s">
        <v>379</v>
      </c>
      <c r="C105" s="2" t="s">
        <v>376</v>
      </c>
      <c r="D105" s="3">
        <v>3.2E9</v>
      </c>
      <c r="E105" s="2" t="s">
        <v>100</v>
      </c>
      <c r="F105" s="4" t="str">
        <f>VLOOKUP(B105,Raw_Data_Collection!$B$2:$F$215,5,FALSE)</f>
        <v>N</v>
      </c>
      <c r="G105" s="3">
        <f>VLOOKUP(B105,Raw_Data_Collection!$B$2:$J$215,6,FALSE)</f>
        <v>28250000</v>
      </c>
      <c r="H105" s="5" t="s">
        <v>380</v>
      </c>
      <c r="I105" s="4">
        <v>2015.0</v>
      </c>
      <c r="J105" s="2" t="str">
        <f>VLOOKUP(B105,Raw_Data_Collection!$B$2:$J$215,9,FALSE)</f>
        <v/>
      </c>
      <c r="K105" s="18">
        <f>VLOOKUP(B105,Real_Estate_Stats!$A$2:$G$215,7,FALSE)</f>
        <v>28250000</v>
      </c>
      <c r="L105" s="18">
        <f t="shared" si="1"/>
        <v>3171750000</v>
      </c>
      <c r="M105" s="4">
        <v>0.37</v>
      </c>
      <c r="N105" s="4">
        <v>0.05</v>
      </c>
      <c r="O105" s="29">
        <f t="shared" si="2"/>
        <v>158587500</v>
      </c>
      <c r="P105" s="29">
        <f t="shared" si="3"/>
        <v>251726190.5</v>
      </c>
      <c r="Q105" s="29">
        <f t="shared" si="4"/>
        <v>93138690.48</v>
      </c>
      <c r="R105" s="4">
        <v>0.075</v>
      </c>
      <c r="S105" s="29">
        <f t="shared" si="5"/>
        <v>182375625</v>
      </c>
      <c r="T105" s="29">
        <f t="shared" si="6"/>
        <v>289485119</v>
      </c>
      <c r="U105" s="29">
        <f t="shared" si="7"/>
        <v>107109494</v>
      </c>
      <c r="V105" s="4"/>
      <c r="W105" s="4"/>
    </row>
    <row r="106" ht="14.25" customHeight="1">
      <c r="A106" s="2">
        <v>104.0</v>
      </c>
      <c r="B106" s="2" t="s">
        <v>381</v>
      </c>
      <c r="C106" s="2" t="s">
        <v>376</v>
      </c>
      <c r="D106" s="3">
        <v>3.2E9</v>
      </c>
      <c r="E106" s="2" t="s">
        <v>100</v>
      </c>
      <c r="F106" s="4" t="str">
        <f>VLOOKUP(B106,Raw_Data_Collection!$B$2:$F$215,5,FALSE)</f>
        <v>N</v>
      </c>
      <c r="G106" s="3" t="str">
        <f>VLOOKUP(B106,Raw_Data_Collection!$B$2:$J$215,6,FALSE)</f>
        <v/>
      </c>
      <c r="J106" s="2" t="str">
        <f>VLOOKUP(B106,Raw_Data_Collection!$B$2:$J$215,9,FALSE)</f>
        <v/>
      </c>
      <c r="K106" s="18">
        <f>VLOOKUP(B106,Real_Estate_Stats!$A$2:$G$215,7,FALSE)</f>
        <v>20353142.86</v>
      </c>
      <c r="L106" s="18">
        <f t="shared" si="1"/>
        <v>3179646857</v>
      </c>
      <c r="M106" s="4">
        <v>0.37</v>
      </c>
      <c r="N106" s="4">
        <v>0.05</v>
      </c>
      <c r="O106" s="29">
        <f t="shared" si="2"/>
        <v>158982342.9</v>
      </c>
      <c r="P106" s="29">
        <f t="shared" si="3"/>
        <v>252352925.2</v>
      </c>
      <c r="Q106" s="29">
        <f t="shared" si="4"/>
        <v>93370582.31</v>
      </c>
      <c r="R106" s="4">
        <v>0.075</v>
      </c>
      <c r="S106" s="29">
        <f t="shared" si="5"/>
        <v>182829694.3</v>
      </c>
      <c r="T106" s="29">
        <f t="shared" si="6"/>
        <v>290205863.9</v>
      </c>
      <c r="U106" s="29">
        <f t="shared" si="7"/>
        <v>107376169.7</v>
      </c>
    </row>
    <row r="107" ht="14.25" customHeight="1">
      <c r="A107" s="2">
        <v>105.0</v>
      </c>
      <c r="B107" s="2" t="s">
        <v>382</v>
      </c>
      <c r="C107" s="2" t="s">
        <v>376</v>
      </c>
      <c r="D107" s="3">
        <v>3.2E9</v>
      </c>
      <c r="E107" s="2" t="s">
        <v>80</v>
      </c>
      <c r="F107" s="4" t="str">
        <f>VLOOKUP(B107,Raw_Data_Collection!$B$2:$F$215,5,FALSE)</f>
        <v>N</v>
      </c>
      <c r="G107" s="3">
        <f>VLOOKUP(B107,Raw_Data_Collection!$B$2:$J$215,6,FALSE)</f>
        <v>57500000</v>
      </c>
      <c r="H107" s="5" t="s">
        <v>383</v>
      </c>
      <c r="I107" s="4">
        <v>2025.0</v>
      </c>
      <c r="J107" s="2" t="str">
        <f>VLOOKUP(B107,Raw_Data_Collection!$B$2:$J$215,9,FALSE)</f>
        <v/>
      </c>
      <c r="K107" s="18">
        <f>VLOOKUP(B107,Real_Estate_Stats!$A$2:$G$215,7,FALSE)</f>
        <v>57500000</v>
      </c>
      <c r="L107" s="18">
        <f t="shared" si="1"/>
        <v>3142500000</v>
      </c>
      <c r="M107" s="4">
        <v>0.37</v>
      </c>
      <c r="N107" s="4">
        <v>0.05</v>
      </c>
      <c r="O107" s="29">
        <f t="shared" si="2"/>
        <v>157125000</v>
      </c>
      <c r="P107" s="29">
        <f t="shared" si="3"/>
        <v>249404761.9</v>
      </c>
      <c r="Q107" s="29">
        <f t="shared" si="4"/>
        <v>92279761.9</v>
      </c>
      <c r="R107" s="4">
        <v>0.075</v>
      </c>
      <c r="S107" s="29">
        <f t="shared" si="5"/>
        <v>180693750</v>
      </c>
      <c r="T107" s="29">
        <f t="shared" si="6"/>
        <v>286815476.2</v>
      </c>
      <c r="U107" s="29">
        <f t="shared" si="7"/>
        <v>106121726.2</v>
      </c>
      <c r="V107" s="4"/>
      <c r="W107" s="4"/>
    </row>
    <row r="108" ht="14.25" customHeight="1">
      <c r="A108" s="2">
        <v>106.0</v>
      </c>
      <c r="B108" s="2" t="s">
        <v>384</v>
      </c>
      <c r="C108" s="2" t="s">
        <v>376</v>
      </c>
      <c r="D108" s="3">
        <v>3.2E9</v>
      </c>
      <c r="E108" s="2" t="s">
        <v>100</v>
      </c>
      <c r="F108" s="4" t="str">
        <f>VLOOKUP(B108,Raw_Data_Collection!$B$2:$F$215,5,FALSE)</f>
        <v>N</v>
      </c>
      <c r="G108" s="3" t="str">
        <f>VLOOKUP(B108,Raw_Data_Collection!$B$2:$J$215,6,FALSE)</f>
        <v/>
      </c>
      <c r="J108" s="2" t="str">
        <f>VLOOKUP(B108,Raw_Data_Collection!$B$2:$J$215,9,FALSE)</f>
        <v/>
      </c>
      <c r="K108" s="18">
        <f>VLOOKUP(B108,Real_Estate_Stats!$A$2:$G$215,7,FALSE)</f>
        <v>20353142.86</v>
      </c>
      <c r="L108" s="18">
        <f t="shared" si="1"/>
        <v>3179646857</v>
      </c>
      <c r="M108" s="4">
        <v>0.37</v>
      </c>
      <c r="N108" s="4">
        <v>0.05</v>
      </c>
      <c r="O108" s="29">
        <f t="shared" si="2"/>
        <v>158982342.9</v>
      </c>
      <c r="P108" s="29">
        <f t="shared" si="3"/>
        <v>252352925.2</v>
      </c>
      <c r="Q108" s="29">
        <f t="shared" si="4"/>
        <v>93370582.31</v>
      </c>
      <c r="R108" s="4">
        <v>0.075</v>
      </c>
      <c r="S108" s="29">
        <f t="shared" si="5"/>
        <v>182829694.3</v>
      </c>
      <c r="T108" s="29">
        <f t="shared" si="6"/>
        <v>290205863.9</v>
      </c>
      <c r="U108" s="29">
        <f t="shared" si="7"/>
        <v>107376169.7</v>
      </c>
    </row>
    <row r="109" ht="14.25" customHeight="1">
      <c r="A109" s="2">
        <v>107.0</v>
      </c>
      <c r="B109" s="2" t="s">
        <v>385</v>
      </c>
      <c r="C109" s="2" t="s">
        <v>376</v>
      </c>
      <c r="D109" s="3">
        <v>3.2E9</v>
      </c>
      <c r="E109" s="2" t="s">
        <v>17</v>
      </c>
      <c r="F109" s="4" t="str">
        <f>VLOOKUP(B109,Raw_Data_Collection!$B$2:$F$215,5,FALSE)</f>
        <v>N</v>
      </c>
      <c r="G109" s="3" t="str">
        <f>VLOOKUP(B109,Raw_Data_Collection!$B$2:$J$215,6,FALSE)</f>
        <v/>
      </c>
      <c r="J109" s="2" t="str">
        <f>VLOOKUP(B109,Raw_Data_Collection!$B$2:$J$215,9,FALSE)</f>
        <v/>
      </c>
      <c r="K109" s="18">
        <f>VLOOKUP(B109,Real_Estate_Stats!$A$2:$G$215,7,FALSE)</f>
        <v>20353142.86</v>
      </c>
      <c r="L109" s="18">
        <f t="shared" si="1"/>
        <v>3179646857</v>
      </c>
      <c r="M109" s="4">
        <v>0.37</v>
      </c>
      <c r="N109" s="4">
        <v>0.05</v>
      </c>
      <c r="O109" s="29">
        <f t="shared" si="2"/>
        <v>158982342.9</v>
      </c>
      <c r="P109" s="29">
        <f t="shared" si="3"/>
        <v>252352925.2</v>
      </c>
      <c r="Q109" s="29">
        <f t="shared" si="4"/>
        <v>93370582.31</v>
      </c>
      <c r="R109" s="4">
        <v>0.075</v>
      </c>
      <c r="S109" s="29">
        <f t="shared" si="5"/>
        <v>182829694.3</v>
      </c>
      <c r="T109" s="29">
        <f t="shared" si="6"/>
        <v>290205863.9</v>
      </c>
      <c r="U109" s="29">
        <f t="shared" si="7"/>
        <v>107376169.7</v>
      </c>
    </row>
    <row r="110" ht="14.25" customHeight="1">
      <c r="A110" s="2">
        <v>108.0</v>
      </c>
      <c r="B110" s="2" t="s">
        <v>386</v>
      </c>
      <c r="C110" s="2" t="s">
        <v>387</v>
      </c>
      <c r="D110" s="3">
        <v>3.1E9</v>
      </c>
      <c r="E110" s="2" t="s">
        <v>90</v>
      </c>
      <c r="F110" s="4" t="str">
        <f>VLOOKUP(B110,Raw_Data_Collection!$B$2:$F$215,5,FALSE)</f>
        <v>N</v>
      </c>
      <c r="G110" s="3">
        <f>VLOOKUP(B110,Raw_Data_Collection!$B$2:$J$215,6,FALSE)</f>
        <v>15563106</v>
      </c>
      <c r="J110" s="2" t="str">
        <f>VLOOKUP(B110,Raw_Data_Collection!$B$2:$J$215,9,FALSE)</f>
        <v/>
      </c>
      <c r="K110" s="18">
        <f>VLOOKUP(B110,Real_Estate_Stats!$A$2:$G$215,7,FALSE)</f>
        <v>15563106</v>
      </c>
      <c r="L110" s="18">
        <f t="shared" si="1"/>
        <v>3084436894</v>
      </c>
      <c r="M110" s="4">
        <v>0.37</v>
      </c>
      <c r="N110" s="4">
        <v>0.05</v>
      </c>
      <c r="O110" s="29">
        <f t="shared" si="2"/>
        <v>154221844.7</v>
      </c>
      <c r="P110" s="29">
        <f t="shared" si="3"/>
        <v>244796578.9</v>
      </c>
      <c r="Q110" s="29">
        <f t="shared" si="4"/>
        <v>90574734.19</v>
      </c>
      <c r="R110" s="4">
        <v>0.075</v>
      </c>
      <c r="S110" s="29">
        <f t="shared" si="5"/>
        <v>177355121.4</v>
      </c>
      <c r="T110" s="29">
        <f t="shared" si="6"/>
        <v>281516065.7</v>
      </c>
      <c r="U110" s="29">
        <f t="shared" si="7"/>
        <v>104160944.3</v>
      </c>
    </row>
    <row r="111" ht="14.25" customHeight="1">
      <c r="A111" s="2">
        <v>109.0</v>
      </c>
      <c r="B111" s="2" t="s">
        <v>390</v>
      </c>
      <c r="C111" s="2" t="s">
        <v>387</v>
      </c>
      <c r="D111" s="3">
        <v>3.1E9</v>
      </c>
      <c r="E111" s="2" t="s">
        <v>391</v>
      </c>
      <c r="F111" s="4" t="str">
        <f>VLOOKUP(B111,Raw_Data_Collection!$B$2:$F$215,5,FALSE)</f>
        <v>N</v>
      </c>
      <c r="G111" s="3">
        <f>VLOOKUP(B111,Raw_Data_Collection!$B$2:$J$215,6,FALSE)</f>
        <v>50000000</v>
      </c>
      <c r="H111" s="5" t="s">
        <v>392</v>
      </c>
      <c r="I111" s="4">
        <v>2024.0</v>
      </c>
      <c r="J111" s="18">
        <f>VLOOKUP(B111,Raw_Data_Collection!$B$2:$J$215,9,FALSE)</f>
        <v>150000000</v>
      </c>
      <c r="K111" s="18">
        <f>VLOOKUP(B111,Real_Estate_Stats!$A$2:$G$215,7,FALSE)</f>
        <v>150000000</v>
      </c>
      <c r="L111" s="18">
        <f t="shared" si="1"/>
        <v>2950000000</v>
      </c>
      <c r="M111" s="4">
        <v>0.37</v>
      </c>
      <c r="N111" s="4">
        <v>0.05</v>
      </c>
      <c r="O111" s="29">
        <f t="shared" si="2"/>
        <v>147500000</v>
      </c>
      <c r="P111" s="29">
        <f t="shared" si="3"/>
        <v>234126984.1</v>
      </c>
      <c r="Q111" s="29">
        <f t="shared" si="4"/>
        <v>86626984.13</v>
      </c>
      <c r="R111" s="4">
        <v>0.075</v>
      </c>
      <c r="S111" s="29">
        <f t="shared" si="5"/>
        <v>169625000</v>
      </c>
      <c r="T111" s="29">
        <f t="shared" si="6"/>
        <v>269246031.7</v>
      </c>
      <c r="U111" s="29">
        <f t="shared" si="7"/>
        <v>99621031.75</v>
      </c>
      <c r="V111" s="4" t="s">
        <v>393</v>
      </c>
      <c r="W111" s="4"/>
      <c r="X111" s="4" t="s">
        <v>394</v>
      </c>
    </row>
    <row r="112" ht="14.25" customHeight="1">
      <c r="A112" s="2">
        <v>110.0</v>
      </c>
      <c r="B112" s="2" t="s">
        <v>395</v>
      </c>
      <c r="C112" s="2" t="s">
        <v>396</v>
      </c>
      <c r="D112" s="3">
        <v>3.0E9</v>
      </c>
      <c r="E112" s="2" t="s">
        <v>30</v>
      </c>
      <c r="F112" s="4" t="str">
        <f>VLOOKUP(B112,Raw_Data_Collection!$B$2:$F$215,5,FALSE)</f>
        <v>N</v>
      </c>
      <c r="G112" s="3" t="str">
        <f>VLOOKUP(B112,Raw_Data_Collection!$B$2:$J$215,6,FALSE)</f>
        <v/>
      </c>
      <c r="J112" s="2" t="str">
        <f>VLOOKUP(B112,Raw_Data_Collection!$B$2:$J$215,9,FALSE)</f>
        <v/>
      </c>
      <c r="K112" s="18">
        <f>VLOOKUP(B112,Real_Estate_Stats!$A$2:$G$215,7,FALSE)</f>
        <v>19081071.43</v>
      </c>
      <c r="L112" s="18">
        <f t="shared" si="1"/>
        <v>2980918929</v>
      </c>
      <c r="M112" s="4">
        <v>0.37</v>
      </c>
      <c r="N112" s="4">
        <v>0.05</v>
      </c>
      <c r="O112" s="29">
        <f t="shared" si="2"/>
        <v>149045946.4</v>
      </c>
      <c r="P112" s="29">
        <f t="shared" si="3"/>
        <v>236580867.3</v>
      </c>
      <c r="Q112" s="29">
        <f t="shared" si="4"/>
        <v>87534920.92</v>
      </c>
      <c r="R112" s="4">
        <v>0.075</v>
      </c>
      <c r="S112" s="29">
        <f t="shared" si="5"/>
        <v>171402838.4</v>
      </c>
      <c r="T112" s="29">
        <f t="shared" si="6"/>
        <v>272067997.4</v>
      </c>
      <c r="U112" s="29">
        <f t="shared" si="7"/>
        <v>100665159.1</v>
      </c>
    </row>
    <row r="113" ht="14.25" customHeight="1">
      <c r="A113" s="2">
        <v>111.0</v>
      </c>
      <c r="B113" s="2" t="s">
        <v>397</v>
      </c>
      <c r="C113" s="2" t="s">
        <v>396</v>
      </c>
      <c r="D113" s="3">
        <v>3.0E9</v>
      </c>
      <c r="E113" s="2" t="s">
        <v>47</v>
      </c>
      <c r="F113" s="4" t="str">
        <f>VLOOKUP(B113,Raw_Data_Collection!$B$2:$F$215,5,FALSE)</f>
        <v>N</v>
      </c>
      <c r="G113" s="3">
        <f>VLOOKUP(B113,Raw_Data_Collection!$B$2:$J$215,6,FALSE)</f>
        <v>55000000</v>
      </c>
      <c r="H113" s="5" t="s">
        <v>398</v>
      </c>
      <c r="I113" s="4">
        <v>2014.0</v>
      </c>
      <c r="J113" s="2" t="str">
        <f>VLOOKUP(B113,Raw_Data_Collection!$B$2:$J$215,9,FALSE)</f>
        <v/>
      </c>
      <c r="K113" s="18">
        <f>VLOOKUP(B113,Real_Estate_Stats!$A$2:$G$215,7,FALSE)</f>
        <v>55000000</v>
      </c>
      <c r="L113" s="18">
        <f t="shared" si="1"/>
        <v>2945000000</v>
      </c>
      <c r="M113" s="4">
        <v>0.37</v>
      </c>
      <c r="N113" s="4">
        <v>0.05</v>
      </c>
      <c r="O113" s="29">
        <f t="shared" si="2"/>
        <v>147250000</v>
      </c>
      <c r="P113" s="29">
        <f t="shared" si="3"/>
        <v>233730158.7</v>
      </c>
      <c r="Q113" s="29">
        <f t="shared" si="4"/>
        <v>86480158.73</v>
      </c>
      <c r="R113" s="4">
        <v>0.075</v>
      </c>
      <c r="S113" s="29">
        <f t="shared" si="5"/>
        <v>169337500</v>
      </c>
      <c r="T113" s="29">
        <f t="shared" si="6"/>
        <v>268789682.5</v>
      </c>
      <c r="U113" s="29">
        <f t="shared" si="7"/>
        <v>99452182.54</v>
      </c>
      <c r="V113" s="4"/>
      <c r="W113" s="4"/>
    </row>
    <row r="114" ht="14.25" customHeight="1">
      <c r="A114" s="2">
        <v>112.0</v>
      </c>
      <c r="B114" s="2" t="s">
        <v>399</v>
      </c>
      <c r="C114" s="2" t="s">
        <v>400</v>
      </c>
      <c r="D114" s="3">
        <v>2.9E9</v>
      </c>
      <c r="E114" s="2" t="s">
        <v>80</v>
      </c>
      <c r="F114" s="4" t="str">
        <f>VLOOKUP(B114,Raw_Data_Collection!$B$2:$F$215,5,FALSE)</f>
        <v>N</v>
      </c>
      <c r="G114" s="3">
        <f>VLOOKUP(B114,Raw_Data_Collection!$B$2:$J$215,6,FALSE)</f>
        <v>63100000</v>
      </c>
      <c r="H114" s="5" t="s">
        <v>401</v>
      </c>
      <c r="I114" s="4">
        <v>2021.0</v>
      </c>
      <c r="J114" s="2" t="str">
        <f>VLOOKUP(B114,Raw_Data_Collection!$B$2:$J$215,9,FALSE)</f>
        <v/>
      </c>
      <c r="K114" s="18">
        <f>VLOOKUP(B114,Real_Estate_Stats!$A$2:$G$215,7,FALSE)</f>
        <v>63100000</v>
      </c>
      <c r="L114" s="18">
        <f t="shared" si="1"/>
        <v>2836900000</v>
      </c>
      <c r="M114" s="4">
        <v>0.37</v>
      </c>
      <c r="N114" s="4">
        <v>0.05</v>
      </c>
      <c r="O114" s="29">
        <f t="shared" si="2"/>
        <v>141845000</v>
      </c>
      <c r="P114" s="29">
        <f t="shared" si="3"/>
        <v>225150793.7</v>
      </c>
      <c r="Q114" s="29">
        <f t="shared" si="4"/>
        <v>83305793.65</v>
      </c>
      <c r="R114" s="4">
        <v>0.075</v>
      </c>
      <c r="S114" s="29">
        <f t="shared" si="5"/>
        <v>163121750</v>
      </c>
      <c r="T114" s="29">
        <f t="shared" si="6"/>
        <v>258923412.7</v>
      </c>
      <c r="U114" s="29">
        <f t="shared" si="7"/>
        <v>95801662.7</v>
      </c>
      <c r="V114" s="4"/>
      <c r="W114" s="4"/>
    </row>
    <row r="115" ht="14.25" customHeight="1">
      <c r="A115" s="2">
        <v>113.0</v>
      </c>
      <c r="B115" s="2" t="s">
        <v>402</v>
      </c>
      <c r="C115" s="2" t="s">
        <v>400</v>
      </c>
      <c r="D115" s="3">
        <v>2.9E9</v>
      </c>
      <c r="E115" s="2" t="s">
        <v>100</v>
      </c>
      <c r="F115" s="4" t="str">
        <f>VLOOKUP(B115,Raw_Data_Collection!$B$2:$F$215,5,FALSE)</f>
        <v>N</v>
      </c>
      <c r="G115" s="3">
        <f>VLOOKUP(B115,Raw_Data_Collection!$B$2:$J$215,6,FALSE)</f>
        <v>12072842</v>
      </c>
      <c r="H115" s="5" t="s">
        <v>403</v>
      </c>
      <c r="I115" s="4">
        <v>2026.0</v>
      </c>
      <c r="J115" s="2" t="str">
        <f>VLOOKUP(B115,Raw_Data_Collection!$B$2:$J$215,9,FALSE)</f>
        <v/>
      </c>
      <c r="K115" s="18">
        <f>VLOOKUP(B115,Real_Estate_Stats!$A$2:$G$215,7,FALSE)</f>
        <v>12072842</v>
      </c>
      <c r="L115" s="18">
        <f t="shared" si="1"/>
        <v>2887927158</v>
      </c>
      <c r="M115" s="4">
        <v>0.37</v>
      </c>
      <c r="N115" s="4">
        <v>0.05</v>
      </c>
      <c r="O115" s="29">
        <f t="shared" si="2"/>
        <v>144396357.9</v>
      </c>
      <c r="P115" s="29">
        <f t="shared" si="3"/>
        <v>229200568.1</v>
      </c>
      <c r="Q115" s="29">
        <f t="shared" si="4"/>
        <v>84804210.2</v>
      </c>
      <c r="R115" s="4">
        <v>0.075</v>
      </c>
      <c r="S115" s="29">
        <f t="shared" si="5"/>
        <v>166055811.6</v>
      </c>
      <c r="T115" s="29">
        <f t="shared" si="6"/>
        <v>263580653.3</v>
      </c>
      <c r="U115" s="29">
        <f t="shared" si="7"/>
        <v>97524841.72</v>
      </c>
      <c r="V115" s="4"/>
      <c r="W115" s="4"/>
      <c r="X115" s="6" t="s">
        <v>725</v>
      </c>
    </row>
    <row r="116" ht="14.25" customHeight="1">
      <c r="A116" s="2">
        <v>114.0</v>
      </c>
      <c r="B116" s="2" t="s">
        <v>405</v>
      </c>
      <c r="C116" s="2" t="s">
        <v>406</v>
      </c>
      <c r="D116" s="3">
        <v>2.8E9</v>
      </c>
      <c r="E116" s="2" t="s">
        <v>90</v>
      </c>
      <c r="F116" s="4" t="str">
        <f>VLOOKUP(B116,Raw_Data_Collection!$B$2:$F$215,5,FALSE)</f>
        <v>N</v>
      </c>
      <c r="G116" s="3">
        <f>VLOOKUP(B116,Raw_Data_Collection!$B$2:$J$215,6,FALSE)</f>
        <v>17197000</v>
      </c>
      <c r="J116" s="2" t="str">
        <f>VLOOKUP(B116,Raw_Data_Collection!$B$2:$J$215,9,FALSE)</f>
        <v/>
      </c>
      <c r="K116" s="18">
        <f>VLOOKUP(B116,Real_Estate_Stats!$A$2:$G$215,7,FALSE)</f>
        <v>17197000</v>
      </c>
      <c r="L116" s="18">
        <f t="shared" si="1"/>
        <v>2782803000</v>
      </c>
      <c r="M116" s="4">
        <v>0.37</v>
      </c>
      <c r="N116" s="4">
        <v>0.05</v>
      </c>
      <c r="O116" s="29">
        <f t="shared" si="2"/>
        <v>139140150</v>
      </c>
      <c r="P116" s="29">
        <f t="shared" si="3"/>
        <v>220857381</v>
      </c>
      <c r="Q116" s="29">
        <f t="shared" si="4"/>
        <v>81717230.95</v>
      </c>
      <c r="R116" s="4">
        <v>0.075</v>
      </c>
      <c r="S116" s="29">
        <f t="shared" si="5"/>
        <v>160011172.5</v>
      </c>
      <c r="T116" s="29">
        <f t="shared" si="6"/>
        <v>253985988.1</v>
      </c>
      <c r="U116" s="29">
        <f t="shared" si="7"/>
        <v>93974815.6</v>
      </c>
    </row>
    <row r="117" ht="14.25" customHeight="1">
      <c r="A117" s="2">
        <v>115.0</v>
      </c>
      <c r="B117" s="2" t="s">
        <v>408</v>
      </c>
      <c r="C117" s="2" t="s">
        <v>406</v>
      </c>
      <c r="D117" s="3">
        <v>2.8E9</v>
      </c>
      <c r="E117" s="2" t="s">
        <v>409</v>
      </c>
      <c r="F117" s="4" t="str">
        <f>VLOOKUP(B117,Raw_Data_Collection!$B$2:$F$215,5,FALSE)</f>
        <v>N</v>
      </c>
      <c r="G117" s="3" t="str">
        <f>VLOOKUP(B117,Raw_Data_Collection!$B$2:$J$215,6,FALSE)</f>
        <v/>
      </c>
      <c r="J117" s="2" t="str">
        <f>VLOOKUP(B117,Raw_Data_Collection!$B$2:$J$215,9,FALSE)</f>
        <v/>
      </c>
      <c r="K117" s="18">
        <f>VLOOKUP(B117,Real_Estate_Stats!$A$2:$G$215,7,FALSE)</f>
        <v>17809000</v>
      </c>
      <c r="L117" s="18">
        <f t="shared" si="1"/>
        <v>2782191000</v>
      </c>
      <c r="M117" s="4">
        <v>0.37</v>
      </c>
      <c r="N117" s="4">
        <v>0.05</v>
      </c>
      <c r="O117" s="29">
        <f t="shared" si="2"/>
        <v>139109550</v>
      </c>
      <c r="P117" s="29">
        <f t="shared" si="3"/>
        <v>220808809.5</v>
      </c>
      <c r="Q117" s="29">
        <f t="shared" si="4"/>
        <v>81699259.52</v>
      </c>
      <c r="R117" s="4">
        <v>0.075</v>
      </c>
      <c r="S117" s="29">
        <f t="shared" si="5"/>
        <v>159975982.5</v>
      </c>
      <c r="T117" s="29">
        <f t="shared" si="6"/>
        <v>253930131</v>
      </c>
      <c r="U117" s="29">
        <f t="shared" si="7"/>
        <v>93954148.45</v>
      </c>
    </row>
    <row r="118" ht="14.25" customHeight="1">
      <c r="A118" s="2">
        <v>116.0</v>
      </c>
      <c r="B118" s="2" t="s">
        <v>411</v>
      </c>
      <c r="C118" s="2" t="s">
        <v>406</v>
      </c>
      <c r="D118" s="3">
        <v>2.8E9</v>
      </c>
      <c r="E118" s="2" t="s">
        <v>412</v>
      </c>
      <c r="F118" s="4" t="str">
        <f>VLOOKUP(B118,Raw_Data_Collection!$B$2:$F$215,5,FALSE)</f>
        <v>N</v>
      </c>
      <c r="G118" s="3" t="str">
        <f>VLOOKUP(B118,Raw_Data_Collection!$B$2:$J$215,6,FALSE)</f>
        <v/>
      </c>
      <c r="J118" s="2" t="str">
        <f>VLOOKUP(B118,Raw_Data_Collection!$B$2:$J$215,9,FALSE)</f>
        <v/>
      </c>
      <c r="K118" s="18">
        <f>VLOOKUP(B118,Real_Estate_Stats!$A$2:$G$215,7,FALSE)</f>
        <v>17809000</v>
      </c>
      <c r="L118" s="18">
        <f t="shared" si="1"/>
        <v>2782191000</v>
      </c>
      <c r="M118" s="4">
        <v>0.37</v>
      </c>
      <c r="N118" s="4">
        <v>0.05</v>
      </c>
      <c r="O118" s="29">
        <f t="shared" si="2"/>
        <v>139109550</v>
      </c>
      <c r="P118" s="29">
        <f t="shared" si="3"/>
        <v>220808809.5</v>
      </c>
      <c r="Q118" s="29">
        <f t="shared" si="4"/>
        <v>81699259.52</v>
      </c>
      <c r="R118" s="4">
        <v>0.075</v>
      </c>
      <c r="S118" s="29">
        <f t="shared" si="5"/>
        <v>159975982.5</v>
      </c>
      <c r="T118" s="29">
        <f t="shared" si="6"/>
        <v>253930131</v>
      </c>
      <c r="U118" s="29">
        <f t="shared" si="7"/>
        <v>93954148.45</v>
      </c>
    </row>
    <row r="119" ht="14.25" customHeight="1">
      <c r="A119" s="2">
        <v>117.0</v>
      </c>
      <c r="B119" s="2" t="s">
        <v>413</v>
      </c>
      <c r="C119" s="2" t="s">
        <v>406</v>
      </c>
      <c r="D119" s="3">
        <v>2.8E9</v>
      </c>
      <c r="E119" s="2" t="s">
        <v>100</v>
      </c>
      <c r="F119" s="4" t="str">
        <f>VLOOKUP(B119,Raw_Data_Collection!$B$2:$F$215,5,FALSE)</f>
        <v>N</v>
      </c>
      <c r="G119" s="3" t="str">
        <f>VLOOKUP(B119,Raw_Data_Collection!$B$2:$J$215,6,FALSE)</f>
        <v/>
      </c>
      <c r="J119" s="2" t="str">
        <f>VLOOKUP(B119,Raw_Data_Collection!$B$2:$J$215,9,FALSE)</f>
        <v/>
      </c>
      <c r="K119" s="18">
        <f>VLOOKUP(B119,Real_Estate_Stats!$A$2:$G$215,7,FALSE)</f>
        <v>17809000</v>
      </c>
      <c r="L119" s="18">
        <f t="shared" si="1"/>
        <v>2782191000</v>
      </c>
      <c r="M119" s="4">
        <v>0.37</v>
      </c>
      <c r="N119" s="4">
        <v>0.05</v>
      </c>
      <c r="O119" s="29">
        <f t="shared" si="2"/>
        <v>139109550</v>
      </c>
      <c r="P119" s="29">
        <f t="shared" si="3"/>
        <v>220808809.5</v>
      </c>
      <c r="Q119" s="29">
        <f t="shared" si="4"/>
        <v>81699259.52</v>
      </c>
      <c r="R119" s="4">
        <v>0.075</v>
      </c>
      <c r="S119" s="29">
        <f t="shared" si="5"/>
        <v>159975982.5</v>
      </c>
      <c r="T119" s="29">
        <f t="shared" si="6"/>
        <v>253930131</v>
      </c>
      <c r="U119" s="29">
        <f t="shared" si="7"/>
        <v>93954148.45</v>
      </c>
    </row>
    <row r="120" ht="14.25" customHeight="1">
      <c r="A120" s="2">
        <v>118.0</v>
      </c>
      <c r="B120" s="2" t="s">
        <v>414</v>
      </c>
      <c r="C120" s="2" t="s">
        <v>415</v>
      </c>
      <c r="D120" s="3">
        <v>2.7E9</v>
      </c>
      <c r="E120" s="2" t="s">
        <v>100</v>
      </c>
      <c r="F120" s="4" t="str">
        <f>VLOOKUP(B120,Raw_Data_Collection!$B$2:$F$215,5,FALSE)</f>
        <v>N</v>
      </c>
      <c r="G120" s="3" t="str">
        <f>VLOOKUP(B120,Raw_Data_Collection!$B$2:$J$215,6,FALSE)</f>
        <v/>
      </c>
      <c r="J120" s="2" t="str">
        <f>VLOOKUP(B120,Raw_Data_Collection!$B$2:$J$215,9,FALSE)</f>
        <v/>
      </c>
      <c r="K120" s="18">
        <f>VLOOKUP(B120,Real_Estate_Stats!$A$2:$G$215,7,FALSE)</f>
        <v>17172964.29</v>
      </c>
      <c r="L120" s="18">
        <f t="shared" si="1"/>
        <v>2682827036</v>
      </c>
      <c r="M120" s="4">
        <v>0.37</v>
      </c>
      <c r="N120" s="4">
        <v>0.05</v>
      </c>
      <c r="O120" s="29">
        <f t="shared" si="2"/>
        <v>134141351.8</v>
      </c>
      <c r="P120" s="29">
        <f t="shared" si="3"/>
        <v>212922780.6</v>
      </c>
      <c r="Q120" s="29">
        <f t="shared" si="4"/>
        <v>78781428.83</v>
      </c>
      <c r="R120" s="4">
        <v>0.075</v>
      </c>
      <c r="S120" s="29">
        <f t="shared" si="5"/>
        <v>154262554.6</v>
      </c>
      <c r="T120" s="29">
        <f t="shared" si="6"/>
        <v>244861197.7</v>
      </c>
      <c r="U120" s="29">
        <f t="shared" si="7"/>
        <v>90598643.15</v>
      </c>
    </row>
    <row r="121" ht="14.25" customHeight="1">
      <c r="A121" s="2">
        <v>119.0</v>
      </c>
      <c r="B121" s="2" t="s">
        <v>416</v>
      </c>
      <c r="C121" s="2" t="s">
        <v>417</v>
      </c>
      <c r="D121" s="3">
        <v>2.6E9</v>
      </c>
      <c r="E121" s="2" t="s">
        <v>100</v>
      </c>
      <c r="F121" s="4" t="str">
        <f>VLOOKUP(B121,Raw_Data_Collection!$B$2:$F$215,5,FALSE)</f>
        <v>N</v>
      </c>
      <c r="G121" s="3" t="str">
        <f>VLOOKUP(B121,Raw_Data_Collection!$B$2:$J$215,6,FALSE)</f>
        <v/>
      </c>
      <c r="J121" s="2" t="str">
        <f>VLOOKUP(B121,Raw_Data_Collection!$B$2:$J$215,9,FALSE)</f>
        <v/>
      </c>
      <c r="K121" s="18">
        <f>VLOOKUP(B121,Real_Estate_Stats!$A$2:$G$215,7,FALSE)</f>
        <v>16536928.57</v>
      </c>
      <c r="L121" s="18">
        <f t="shared" si="1"/>
        <v>2583463071</v>
      </c>
      <c r="M121" s="4">
        <v>0.37</v>
      </c>
      <c r="N121" s="4">
        <v>0.05</v>
      </c>
      <c r="O121" s="29">
        <f t="shared" si="2"/>
        <v>129173153.6</v>
      </c>
      <c r="P121" s="29">
        <f t="shared" si="3"/>
        <v>205036751.7</v>
      </c>
      <c r="Q121" s="29">
        <f t="shared" si="4"/>
        <v>75863598.13</v>
      </c>
      <c r="R121" s="4">
        <v>0.075</v>
      </c>
      <c r="S121" s="29">
        <f t="shared" si="5"/>
        <v>148549126.6</v>
      </c>
      <c r="T121" s="29">
        <f t="shared" si="6"/>
        <v>235792264.5</v>
      </c>
      <c r="U121" s="29">
        <f t="shared" si="7"/>
        <v>87243137.85</v>
      </c>
    </row>
    <row r="122" ht="14.25" customHeight="1">
      <c r="A122" s="2">
        <v>120.0</v>
      </c>
      <c r="B122" s="2" t="s">
        <v>418</v>
      </c>
      <c r="C122" s="2" t="s">
        <v>417</v>
      </c>
      <c r="D122" s="3">
        <v>2.6E9</v>
      </c>
      <c r="E122" s="2" t="s">
        <v>47</v>
      </c>
      <c r="F122" s="4" t="str">
        <f>VLOOKUP(B122,Raw_Data_Collection!$B$2:$F$215,5,FALSE)</f>
        <v>N</v>
      </c>
      <c r="G122" s="3">
        <f>VLOOKUP(B122,Raw_Data_Collection!$B$2:$J$215,6,FALSE)</f>
        <v>11761216</v>
      </c>
      <c r="J122" s="18">
        <f>VLOOKUP(B122,Raw_Data_Collection!$B$2:$J$215,9,FALSE)</f>
        <v>17143216</v>
      </c>
      <c r="K122" s="18">
        <f>VLOOKUP(B122,Real_Estate_Stats!$A$2:$G$215,7,FALSE)</f>
        <v>17143216</v>
      </c>
      <c r="L122" s="18">
        <f t="shared" si="1"/>
        <v>2582856784</v>
      </c>
      <c r="M122" s="4">
        <v>0.37</v>
      </c>
      <c r="N122" s="4">
        <v>0.05</v>
      </c>
      <c r="O122" s="29">
        <f t="shared" si="2"/>
        <v>129142839.2</v>
      </c>
      <c r="P122" s="29">
        <f t="shared" si="3"/>
        <v>204988633.7</v>
      </c>
      <c r="Q122" s="29">
        <f t="shared" si="4"/>
        <v>75845794.45</v>
      </c>
      <c r="R122" s="4">
        <v>0.075</v>
      </c>
      <c r="S122" s="29">
        <f t="shared" si="5"/>
        <v>148514265.1</v>
      </c>
      <c r="T122" s="29">
        <f t="shared" si="6"/>
        <v>235736928.7</v>
      </c>
      <c r="U122" s="29">
        <f t="shared" si="7"/>
        <v>87222663.62</v>
      </c>
    </row>
    <row r="123" ht="14.25" customHeight="1">
      <c r="A123" s="2">
        <v>121.0</v>
      </c>
      <c r="B123" s="2" t="s">
        <v>422</v>
      </c>
      <c r="C123" s="2" t="s">
        <v>417</v>
      </c>
      <c r="D123" s="3">
        <v>2.6E9</v>
      </c>
      <c r="E123" s="2" t="s">
        <v>423</v>
      </c>
      <c r="F123" s="4" t="str">
        <f>VLOOKUP(B123,Raw_Data_Collection!$B$2:$F$215,5,FALSE)</f>
        <v>N</v>
      </c>
      <c r="G123" s="3">
        <f>VLOOKUP(B123,Raw_Data_Collection!$B$2:$J$215,6,FALSE)</f>
        <v>12300000</v>
      </c>
      <c r="J123" s="2" t="str">
        <f>VLOOKUP(B123,Raw_Data_Collection!$B$2:$J$215,9,FALSE)</f>
        <v/>
      </c>
      <c r="K123" s="18">
        <f>VLOOKUP(B123,Real_Estate_Stats!$A$2:$G$215,7,FALSE)</f>
        <v>12300000</v>
      </c>
      <c r="L123" s="18">
        <f t="shared" si="1"/>
        <v>2587700000</v>
      </c>
      <c r="M123" s="4">
        <v>0.37</v>
      </c>
      <c r="N123" s="4">
        <v>0.05</v>
      </c>
      <c r="O123" s="29">
        <f t="shared" si="2"/>
        <v>129385000</v>
      </c>
      <c r="P123" s="29">
        <f t="shared" si="3"/>
        <v>205373015.9</v>
      </c>
      <c r="Q123" s="29">
        <f t="shared" si="4"/>
        <v>75988015.87</v>
      </c>
      <c r="R123" s="4">
        <v>0.075</v>
      </c>
      <c r="S123" s="29">
        <f t="shared" si="5"/>
        <v>148792750</v>
      </c>
      <c r="T123" s="29">
        <f t="shared" si="6"/>
        <v>236178968.3</v>
      </c>
      <c r="U123" s="29">
        <f t="shared" si="7"/>
        <v>87386218.25</v>
      </c>
    </row>
    <row r="124" ht="14.25" customHeight="1">
      <c r="A124" s="2">
        <v>122.0</v>
      </c>
      <c r="B124" s="2" t="s">
        <v>426</v>
      </c>
      <c r="C124" s="2" t="s">
        <v>417</v>
      </c>
      <c r="D124" s="3">
        <v>2.6E9</v>
      </c>
      <c r="E124" s="2" t="s">
        <v>427</v>
      </c>
      <c r="F124" s="4" t="str">
        <f>VLOOKUP(B124,Raw_Data_Collection!$B$2:$F$215,5,FALSE)</f>
        <v>N</v>
      </c>
      <c r="G124" s="3">
        <f>VLOOKUP(B124,Raw_Data_Collection!$B$2:$J$215,6,FALSE)</f>
        <v>10000000</v>
      </c>
      <c r="J124" s="2" t="str">
        <f>VLOOKUP(B124,Raw_Data_Collection!$B$2:$J$215,9,FALSE)</f>
        <v/>
      </c>
      <c r="K124" s="18">
        <f>VLOOKUP(B124,Real_Estate_Stats!$A$2:$G$215,7,FALSE)</f>
        <v>10000000</v>
      </c>
      <c r="L124" s="18">
        <f t="shared" si="1"/>
        <v>2590000000</v>
      </c>
      <c r="M124" s="4">
        <v>0.37</v>
      </c>
      <c r="N124" s="4">
        <v>0.05</v>
      </c>
      <c r="O124" s="29">
        <f t="shared" si="2"/>
        <v>129500000</v>
      </c>
      <c r="P124" s="29">
        <f t="shared" si="3"/>
        <v>205555555.6</v>
      </c>
      <c r="Q124" s="29">
        <f t="shared" si="4"/>
        <v>76055555.56</v>
      </c>
      <c r="R124" s="4">
        <v>0.075</v>
      </c>
      <c r="S124" s="29">
        <f t="shared" si="5"/>
        <v>148925000</v>
      </c>
      <c r="T124" s="29">
        <f t="shared" si="6"/>
        <v>236388888.9</v>
      </c>
      <c r="U124" s="29">
        <f t="shared" si="7"/>
        <v>87463888.89</v>
      </c>
    </row>
    <row r="125" ht="14.25" customHeight="1">
      <c r="A125" s="2">
        <v>123.0</v>
      </c>
      <c r="B125" s="2" t="s">
        <v>430</v>
      </c>
      <c r="C125" s="2" t="s">
        <v>431</v>
      </c>
      <c r="D125" s="3">
        <v>2.5E9</v>
      </c>
      <c r="E125" s="2" t="s">
        <v>17</v>
      </c>
      <c r="F125" s="4" t="str">
        <f>VLOOKUP(B125,Raw_Data_Collection!$B$2:$F$215,5,FALSE)</f>
        <v>N</v>
      </c>
      <c r="G125" s="3" t="str">
        <f>VLOOKUP(B125,Raw_Data_Collection!$B$2:$J$215,6,FALSE)</f>
        <v/>
      </c>
      <c r="J125" s="2" t="str">
        <f>VLOOKUP(B125,Raw_Data_Collection!$B$2:$J$215,9,FALSE)</f>
        <v/>
      </c>
      <c r="K125" s="18">
        <f>VLOOKUP(B125,Real_Estate_Stats!$A$2:$G$215,7,FALSE)</f>
        <v>15900892.86</v>
      </c>
      <c r="L125" s="18">
        <f t="shared" si="1"/>
        <v>2484099107</v>
      </c>
      <c r="M125" s="4">
        <v>0.37</v>
      </c>
      <c r="N125" s="4">
        <v>0.05</v>
      </c>
      <c r="O125" s="29">
        <f t="shared" si="2"/>
        <v>124204955.4</v>
      </c>
      <c r="P125" s="29">
        <f t="shared" si="3"/>
        <v>197150722.8</v>
      </c>
      <c r="Q125" s="29">
        <f t="shared" si="4"/>
        <v>72945767.43</v>
      </c>
      <c r="R125" s="4">
        <v>0.075</v>
      </c>
      <c r="S125" s="29">
        <f t="shared" si="5"/>
        <v>142835698.7</v>
      </c>
      <c r="T125" s="29">
        <f t="shared" si="6"/>
        <v>226723331.2</v>
      </c>
      <c r="U125" s="29">
        <f t="shared" si="7"/>
        <v>83887632.55</v>
      </c>
    </row>
    <row r="126" ht="14.25" customHeight="1">
      <c r="A126" s="2">
        <v>124.0</v>
      </c>
      <c r="B126" s="2" t="s">
        <v>432</v>
      </c>
      <c r="C126" s="2" t="s">
        <v>431</v>
      </c>
      <c r="D126" s="3">
        <v>2.5E9</v>
      </c>
      <c r="E126" s="2" t="s">
        <v>47</v>
      </c>
      <c r="F126" s="4" t="str">
        <f>VLOOKUP(B126,Raw_Data_Collection!$B$2:$F$215,5,FALSE)</f>
        <v>N</v>
      </c>
      <c r="G126" s="3">
        <f>VLOOKUP(B126,Raw_Data_Collection!$B$2:$J$215,6,FALSE)</f>
        <v>120000000</v>
      </c>
      <c r="H126" s="5" t="s">
        <v>433</v>
      </c>
      <c r="I126" s="4">
        <v>2022.0</v>
      </c>
      <c r="J126" s="2" t="str">
        <f>VLOOKUP(B126,Raw_Data_Collection!$B$2:$J$215,9,FALSE)</f>
        <v/>
      </c>
      <c r="K126" s="18">
        <f>VLOOKUP(B126,Real_Estate_Stats!$A$2:$G$215,7,FALSE)</f>
        <v>120000000</v>
      </c>
      <c r="L126" s="18">
        <f t="shared" si="1"/>
        <v>2380000000</v>
      </c>
      <c r="M126" s="4">
        <v>0.37</v>
      </c>
      <c r="N126" s="4">
        <v>0.05</v>
      </c>
      <c r="O126" s="29">
        <f t="shared" si="2"/>
        <v>119000000</v>
      </c>
      <c r="P126" s="29">
        <f t="shared" si="3"/>
        <v>188888888.9</v>
      </c>
      <c r="Q126" s="29">
        <f t="shared" si="4"/>
        <v>69888888.89</v>
      </c>
      <c r="R126" s="4">
        <v>0.075</v>
      </c>
      <c r="S126" s="29">
        <f t="shared" si="5"/>
        <v>136850000</v>
      </c>
      <c r="T126" s="29">
        <f t="shared" si="6"/>
        <v>217222222.2</v>
      </c>
      <c r="U126" s="29">
        <f t="shared" si="7"/>
        <v>80372222.22</v>
      </c>
      <c r="V126" s="4"/>
      <c r="W126" s="4"/>
    </row>
    <row r="127" ht="14.25" customHeight="1">
      <c r="A127" s="2">
        <v>125.0</v>
      </c>
      <c r="B127" s="2" t="s">
        <v>434</v>
      </c>
      <c r="C127" s="2" t="s">
        <v>431</v>
      </c>
      <c r="D127" s="3">
        <v>2.5E9</v>
      </c>
      <c r="E127" s="2" t="s">
        <v>435</v>
      </c>
      <c r="F127" s="4" t="str">
        <f>VLOOKUP(B127,Raw_Data_Collection!$B$2:$F$215,5,FALSE)</f>
        <v>N</v>
      </c>
      <c r="G127" s="3">
        <f>VLOOKUP(B127,Raw_Data_Collection!$B$2:$J$215,6,FALSE)</f>
        <v>9918000</v>
      </c>
      <c r="J127" s="18">
        <f>VLOOKUP(B127,Raw_Data_Collection!$B$2:$J$215,9,FALSE)</f>
        <v>9918000</v>
      </c>
      <c r="K127" s="18">
        <f>VLOOKUP(B127,Real_Estate_Stats!$A$2:$G$215,7,FALSE)</f>
        <v>15900892.86</v>
      </c>
      <c r="L127" s="18">
        <f t="shared" si="1"/>
        <v>2484099107</v>
      </c>
      <c r="M127" s="4">
        <v>0.37</v>
      </c>
      <c r="N127" s="4">
        <v>0.05</v>
      </c>
      <c r="O127" s="29">
        <f t="shared" si="2"/>
        <v>124204955.4</v>
      </c>
      <c r="P127" s="29">
        <f t="shared" si="3"/>
        <v>197150722.8</v>
      </c>
      <c r="Q127" s="29">
        <f t="shared" si="4"/>
        <v>72945767.43</v>
      </c>
      <c r="R127" s="4">
        <v>0.075</v>
      </c>
      <c r="S127" s="29">
        <f t="shared" si="5"/>
        <v>142835698.7</v>
      </c>
      <c r="T127" s="29">
        <f t="shared" si="6"/>
        <v>226723331.2</v>
      </c>
      <c r="U127" s="29">
        <f t="shared" si="7"/>
        <v>83887632.55</v>
      </c>
    </row>
    <row r="128" ht="14.25" customHeight="1">
      <c r="A128" s="2">
        <v>126.0</v>
      </c>
      <c r="B128" s="2" t="s">
        <v>438</v>
      </c>
      <c r="C128" s="2" t="s">
        <v>439</v>
      </c>
      <c r="D128" s="3">
        <v>2.4E9</v>
      </c>
      <c r="E128" s="2" t="s">
        <v>440</v>
      </c>
      <c r="F128" s="4" t="str">
        <f>VLOOKUP(B128,Raw_Data_Collection!$B$2:$F$215,5,FALSE)</f>
        <v>N</v>
      </c>
      <c r="G128" s="3">
        <f>VLOOKUP(B128,Raw_Data_Collection!$B$2:$J$215,6,FALSE)</f>
        <v>11668997</v>
      </c>
      <c r="J128" s="2" t="str">
        <f>VLOOKUP(B128,Raw_Data_Collection!$B$2:$J$215,9,FALSE)</f>
        <v/>
      </c>
      <c r="K128" s="18">
        <f>VLOOKUP(B128,Real_Estate_Stats!$A$2:$G$215,7,FALSE)</f>
        <v>11668997</v>
      </c>
      <c r="L128" s="18">
        <f t="shared" si="1"/>
        <v>2388331003</v>
      </c>
      <c r="M128" s="4">
        <v>0.37</v>
      </c>
      <c r="N128" s="4">
        <v>0.05</v>
      </c>
      <c r="O128" s="29">
        <f t="shared" si="2"/>
        <v>119416550.2</v>
      </c>
      <c r="P128" s="29">
        <f t="shared" si="3"/>
        <v>189550079.6</v>
      </c>
      <c r="Q128" s="29">
        <f t="shared" si="4"/>
        <v>70133529.45</v>
      </c>
      <c r="R128" s="4">
        <v>0.075</v>
      </c>
      <c r="S128" s="29">
        <f t="shared" si="5"/>
        <v>137329032.7</v>
      </c>
      <c r="T128" s="29">
        <f t="shared" si="6"/>
        <v>217982591.5</v>
      </c>
      <c r="U128" s="29">
        <f t="shared" si="7"/>
        <v>80653558.87</v>
      </c>
    </row>
    <row r="129" ht="14.25" customHeight="1">
      <c r="A129" s="2">
        <v>127.0</v>
      </c>
      <c r="B129" s="2" t="s">
        <v>443</v>
      </c>
      <c r="C129" s="2" t="s">
        <v>439</v>
      </c>
      <c r="D129" s="3">
        <v>2.4E9</v>
      </c>
      <c r="E129" s="2" t="s">
        <v>17</v>
      </c>
      <c r="F129" s="4" t="str">
        <f>VLOOKUP(B129,Raw_Data_Collection!$B$2:$F$215,5,FALSE)</f>
        <v>N</v>
      </c>
      <c r="G129" s="3" t="str">
        <f>VLOOKUP(B129,Raw_Data_Collection!$B$2:$J$215,6,FALSE)</f>
        <v/>
      </c>
      <c r="J129" s="2" t="str">
        <f>VLOOKUP(B129,Raw_Data_Collection!$B$2:$J$215,9,FALSE)</f>
        <v/>
      </c>
      <c r="K129" s="18">
        <f>VLOOKUP(B129,Real_Estate_Stats!$A$2:$G$215,7,FALSE)</f>
        <v>15264857.14</v>
      </c>
      <c r="L129" s="18">
        <f t="shared" si="1"/>
        <v>2384735143</v>
      </c>
      <c r="M129" s="4">
        <v>0.37</v>
      </c>
      <c r="N129" s="4">
        <v>0.05</v>
      </c>
      <c r="O129" s="29">
        <f t="shared" si="2"/>
        <v>119236757.1</v>
      </c>
      <c r="P129" s="29">
        <f t="shared" si="3"/>
        <v>189264693.9</v>
      </c>
      <c r="Q129" s="29">
        <f t="shared" si="4"/>
        <v>70027936.73</v>
      </c>
      <c r="R129" s="4">
        <v>0.075</v>
      </c>
      <c r="S129" s="29">
        <f t="shared" si="5"/>
        <v>137122270.7</v>
      </c>
      <c r="T129" s="29">
        <f t="shared" si="6"/>
        <v>217654398</v>
      </c>
      <c r="U129" s="29">
        <f t="shared" si="7"/>
        <v>80532127.24</v>
      </c>
    </row>
    <row r="130" ht="14.25" customHeight="1">
      <c r="A130" s="2">
        <v>128.0</v>
      </c>
      <c r="B130" s="2" t="s">
        <v>445</v>
      </c>
      <c r="C130" s="2" t="s">
        <v>439</v>
      </c>
      <c r="D130" s="3">
        <v>2.4E9</v>
      </c>
      <c r="E130" s="2" t="s">
        <v>17</v>
      </c>
      <c r="F130" s="4" t="str">
        <f>VLOOKUP(B130,Raw_Data_Collection!$B$2:$F$215,5,FALSE)</f>
        <v>N</v>
      </c>
      <c r="G130" s="3">
        <f>VLOOKUP(B130,Raw_Data_Collection!$B$2:$J$215,6,FALSE)</f>
        <v>13339211</v>
      </c>
      <c r="J130" s="2" t="str">
        <f>VLOOKUP(B130,Raw_Data_Collection!$B$2:$J$215,9,FALSE)</f>
        <v/>
      </c>
      <c r="K130" s="18">
        <f>VLOOKUP(B130,Real_Estate_Stats!$A$2:$G$215,7,FALSE)</f>
        <v>13339211</v>
      </c>
      <c r="L130" s="18">
        <f t="shared" si="1"/>
        <v>2386660789</v>
      </c>
      <c r="M130" s="4">
        <v>0.37</v>
      </c>
      <c r="N130" s="4">
        <v>0.05</v>
      </c>
      <c r="O130" s="29">
        <f t="shared" si="2"/>
        <v>119333039.5</v>
      </c>
      <c r="P130" s="29">
        <f t="shared" si="3"/>
        <v>189417522.9</v>
      </c>
      <c r="Q130" s="29">
        <f t="shared" si="4"/>
        <v>70084483.49</v>
      </c>
      <c r="R130" s="4">
        <v>0.075</v>
      </c>
      <c r="S130" s="29">
        <f t="shared" si="5"/>
        <v>137232995.4</v>
      </c>
      <c r="T130" s="29">
        <f t="shared" si="6"/>
        <v>217830151.4</v>
      </c>
      <c r="U130" s="29">
        <f t="shared" si="7"/>
        <v>80597156.01</v>
      </c>
    </row>
    <row r="131" ht="14.25" customHeight="1">
      <c r="A131" s="2">
        <v>129.0</v>
      </c>
      <c r="B131" s="2" t="s">
        <v>448</v>
      </c>
      <c r="C131" s="2" t="s">
        <v>449</v>
      </c>
      <c r="D131" s="3">
        <v>2.3E9</v>
      </c>
      <c r="E131" s="2" t="s">
        <v>47</v>
      </c>
      <c r="F131" s="4" t="str">
        <f>VLOOKUP(B131,Raw_Data_Collection!$B$2:$F$215,5,FALSE)</f>
        <v>N</v>
      </c>
      <c r="G131" s="3">
        <f>VLOOKUP(B131,Raw_Data_Collection!$B$2:$J$215,6,FALSE)</f>
        <v>8683316</v>
      </c>
      <c r="J131" s="2" t="str">
        <f>VLOOKUP(B131,Raw_Data_Collection!$B$2:$J$215,9,FALSE)</f>
        <v/>
      </c>
      <c r="K131" s="18">
        <f>VLOOKUP(B131,Real_Estate_Stats!$A$2:$G$215,7,FALSE)</f>
        <v>8683316</v>
      </c>
      <c r="L131" s="18">
        <f t="shared" si="1"/>
        <v>2291316684</v>
      </c>
      <c r="M131" s="4">
        <v>0.37</v>
      </c>
      <c r="N131" s="4">
        <v>0.05</v>
      </c>
      <c r="O131" s="29">
        <f t="shared" si="2"/>
        <v>114565834.2</v>
      </c>
      <c r="P131" s="29">
        <f t="shared" si="3"/>
        <v>181850530.5</v>
      </c>
      <c r="Q131" s="29">
        <f t="shared" si="4"/>
        <v>67284696.28</v>
      </c>
      <c r="R131" s="4">
        <v>0.075</v>
      </c>
      <c r="S131" s="29">
        <f t="shared" si="5"/>
        <v>131750709.3</v>
      </c>
      <c r="T131" s="29">
        <f t="shared" si="6"/>
        <v>209128110</v>
      </c>
      <c r="U131" s="29">
        <f t="shared" si="7"/>
        <v>77377400.72</v>
      </c>
    </row>
    <row r="132" ht="14.25" customHeight="1">
      <c r="A132" s="2">
        <v>130.0</v>
      </c>
      <c r="B132" s="2" t="s">
        <v>452</v>
      </c>
      <c r="C132" s="2" t="s">
        <v>449</v>
      </c>
      <c r="D132" s="3">
        <v>2.3E9</v>
      </c>
      <c r="E132" s="2" t="s">
        <v>47</v>
      </c>
      <c r="F132" s="4" t="str">
        <f>VLOOKUP(B132,Raw_Data_Collection!$B$2:$F$215,5,FALSE)</f>
        <v>N</v>
      </c>
      <c r="G132" s="3">
        <f>VLOOKUP(B132,Raw_Data_Collection!$B$2:$J$215,6,FALSE)</f>
        <v>68820000</v>
      </c>
      <c r="H132" s="5" t="s">
        <v>453</v>
      </c>
      <c r="I132" s="4">
        <v>2018.0</v>
      </c>
      <c r="J132" s="2" t="str">
        <f>VLOOKUP(B132,Raw_Data_Collection!$B$2:$J$215,9,FALSE)</f>
        <v/>
      </c>
      <c r="K132" s="18">
        <f>VLOOKUP(B132,Real_Estate_Stats!$A$2:$G$215,7,FALSE)</f>
        <v>68820000</v>
      </c>
      <c r="L132" s="18">
        <f t="shared" si="1"/>
        <v>2231180000</v>
      </c>
      <c r="M132" s="4">
        <v>0.37</v>
      </c>
      <c r="N132" s="4">
        <v>0.05</v>
      </c>
      <c r="O132" s="29">
        <f t="shared" si="2"/>
        <v>111559000</v>
      </c>
      <c r="P132" s="29">
        <f t="shared" si="3"/>
        <v>177077777.8</v>
      </c>
      <c r="Q132" s="29">
        <f t="shared" si="4"/>
        <v>65518777.78</v>
      </c>
      <c r="R132" s="4">
        <v>0.075</v>
      </c>
      <c r="S132" s="29">
        <f t="shared" si="5"/>
        <v>128292850</v>
      </c>
      <c r="T132" s="29">
        <f t="shared" si="6"/>
        <v>203639444.4</v>
      </c>
      <c r="U132" s="29">
        <f t="shared" si="7"/>
        <v>75346594.44</v>
      </c>
      <c r="V132" s="4"/>
      <c r="W132" s="4"/>
    </row>
    <row r="133" ht="14.25" customHeight="1">
      <c r="A133" s="2">
        <v>131.0</v>
      </c>
      <c r="B133" s="2" t="s">
        <v>454</v>
      </c>
      <c r="C133" s="2" t="s">
        <v>449</v>
      </c>
      <c r="D133" s="3">
        <v>2.3E9</v>
      </c>
      <c r="E133" s="2" t="s">
        <v>354</v>
      </c>
      <c r="F133" s="4" t="str">
        <f>VLOOKUP(B133,Raw_Data_Collection!$B$2:$F$215,5,FALSE)</f>
        <v>N</v>
      </c>
      <c r="G133" s="3">
        <f>VLOOKUP(B133,Raw_Data_Collection!$B$2:$J$215,6,FALSE)</f>
        <v>11000000</v>
      </c>
      <c r="H133" s="5" t="s">
        <v>455</v>
      </c>
      <c r="I133" s="4">
        <v>2026.0</v>
      </c>
      <c r="J133" s="2" t="str">
        <f>VLOOKUP(B133,Raw_Data_Collection!$B$2:$J$215,9,FALSE)</f>
        <v/>
      </c>
      <c r="K133" s="18">
        <f>VLOOKUP(B133,Real_Estate_Stats!$A$2:$G$215,7,FALSE)</f>
        <v>11000000</v>
      </c>
      <c r="L133" s="18">
        <f t="shared" si="1"/>
        <v>2289000000</v>
      </c>
      <c r="M133" s="4">
        <v>0.37</v>
      </c>
      <c r="N133" s="4">
        <v>0.05</v>
      </c>
      <c r="O133" s="29">
        <f t="shared" si="2"/>
        <v>114450000</v>
      </c>
      <c r="P133" s="29">
        <f t="shared" si="3"/>
        <v>181666666.7</v>
      </c>
      <c r="Q133" s="29">
        <f t="shared" si="4"/>
        <v>67216666.67</v>
      </c>
      <c r="R133" s="4">
        <v>0.075</v>
      </c>
      <c r="S133" s="29">
        <f t="shared" si="5"/>
        <v>131617500</v>
      </c>
      <c r="T133" s="29">
        <f t="shared" si="6"/>
        <v>208916666.7</v>
      </c>
      <c r="U133" s="29">
        <f t="shared" si="7"/>
        <v>77299166.67</v>
      </c>
      <c r="V133" s="4"/>
      <c r="W133" s="4"/>
    </row>
    <row r="134" ht="14.25" customHeight="1">
      <c r="A134" s="2">
        <v>132.0</v>
      </c>
      <c r="B134" s="2" t="s">
        <v>456</v>
      </c>
      <c r="C134" s="2" t="s">
        <v>449</v>
      </c>
      <c r="D134" s="3">
        <v>2.3E9</v>
      </c>
      <c r="E134" s="2" t="s">
        <v>90</v>
      </c>
      <c r="F134" s="4" t="str">
        <f>VLOOKUP(B134,Raw_Data_Collection!$B$2:$F$215,5,FALSE)</f>
        <v>N</v>
      </c>
      <c r="G134" s="3">
        <f>VLOOKUP(B134,Raw_Data_Collection!$B$2:$J$215,6,FALSE)</f>
        <v>19800000</v>
      </c>
      <c r="H134" s="5" t="s">
        <v>457</v>
      </c>
      <c r="I134" s="4">
        <v>2007.0</v>
      </c>
      <c r="J134" s="2" t="str">
        <f>VLOOKUP(B134,Raw_Data_Collection!$B$2:$J$215,9,FALSE)</f>
        <v/>
      </c>
      <c r="K134" s="18">
        <f>VLOOKUP(B134,Real_Estate_Stats!$A$2:$G$215,7,FALSE)</f>
        <v>19800000</v>
      </c>
      <c r="L134" s="18">
        <f t="shared" si="1"/>
        <v>2280200000</v>
      </c>
      <c r="M134" s="4">
        <v>0.37</v>
      </c>
      <c r="N134" s="4">
        <v>0.05</v>
      </c>
      <c r="O134" s="29">
        <f t="shared" si="2"/>
        <v>114010000</v>
      </c>
      <c r="P134" s="29">
        <f t="shared" si="3"/>
        <v>180968254</v>
      </c>
      <c r="Q134" s="29">
        <f t="shared" si="4"/>
        <v>66958253.97</v>
      </c>
      <c r="R134" s="4">
        <v>0.075</v>
      </c>
      <c r="S134" s="29">
        <f t="shared" si="5"/>
        <v>131111500</v>
      </c>
      <c r="T134" s="29">
        <f t="shared" si="6"/>
        <v>208113492.1</v>
      </c>
      <c r="U134" s="29">
        <f t="shared" si="7"/>
        <v>77001992.06</v>
      </c>
      <c r="V134" s="4"/>
      <c r="W134" s="4"/>
    </row>
    <row r="135" ht="14.25" customHeight="1">
      <c r="A135" s="2">
        <v>133.0</v>
      </c>
      <c r="B135" s="2" t="s">
        <v>458</v>
      </c>
      <c r="C135" s="2" t="s">
        <v>449</v>
      </c>
      <c r="D135" s="3">
        <v>2.3E9</v>
      </c>
      <c r="E135" s="2" t="s">
        <v>100</v>
      </c>
      <c r="F135" s="4" t="str">
        <f>VLOOKUP(B135,Raw_Data_Collection!$B$2:$F$215,5,FALSE)</f>
        <v>N</v>
      </c>
      <c r="G135" s="3" t="str">
        <f>VLOOKUP(B135,Raw_Data_Collection!$B$2:$J$215,6,FALSE)</f>
        <v/>
      </c>
      <c r="J135" s="2" t="str">
        <f>VLOOKUP(B135,Raw_Data_Collection!$B$2:$J$215,9,FALSE)</f>
        <v/>
      </c>
      <c r="K135" s="18">
        <f>VLOOKUP(B135,Real_Estate_Stats!$A$2:$G$215,7,FALSE)</f>
        <v>14628821.43</v>
      </c>
      <c r="L135" s="18">
        <f t="shared" si="1"/>
        <v>2285371179</v>
      </c>
      <c r="M135" s="4">
        <v>0.37</v>
      </c>
      <c r="N135" s="4">
        <v>0.05</v>
      </c>
      <c r="O135" s="29">
        <f t="shared" si="2"/>
        <v>114268558.9</v>
      </c>
      <c r="P135" s="29">
        <f t="shared" si="3"/>
        <v>181378665</v>
      </c>
      <c r="Q135" s="29">
        <f t="shared" si="4"/>
        <v>67110106.04</v>
      </c>
      <c r="R135" s="4">
        <v>0.075</v>
      </c>
      <c r="S135" s="29">
        <f t="shared" si="5"/>
        <v>131408842.8</v>
      </c>
      <c r="T135" s="29">
        <f t="shared" si="6"/>
        <v>208585464.7</v>
      </c>
      <c r="U135" s="29">
        <f t="shared" si="7"/>
        <v>77176621.94</v>
      </c>
    </row>
    <row r="136" ht="14.25" customHeight="1">
      <c r="A136" s="2">
        <v>134.0</v>
      </c>
      <c r="B136" s="2" t="s">
        <v>459</v>
      </c>
      <c r="C136" s="2" t="s">
        <v>449</v>
      </c>
      <c r="D136" s="3">
        <v>2.3E9</v>
      </c>
      <c r="E136" s="2" t="s">
        <v>440</v>
      </c>
      <c r="F136" s="4" t="str">
        <f>VLOOKUP(B136,Raw_Data_Collection!$B$2:$F$215,5,FALSE)</f>
        <v>N</v>
      </c>
      <c r="G136" s="3">
        <f>VLOOKUP(B136,Raw_Data_Collection!$B$2:$J$215,6,FALSE)</f>
        <v>9411000</v>
      </c>
      <c r="J136" s="2" t="str">
        <f>VLOOKUP(B136,Raw_Data_Collection!$B$2:$J$215,9,FALSE)</f>
        <v/>
      </c>
      <c r="K136" s="18">
        <f>VLOOKUP(B136,Real_Estate_Stats!$A$2:$G$215,7,FALSE)</f>
        <v>9411000</v>
      </c>
      <c r="L136" s="18">
        <f t="shared" si="1"/>
        <v>2290589000</v>
      </c>
      <c r="M136" s="4">
        <v>0.37</v>
      </c>
      <c r="N136" s="4">
        <v>0.05</v>
      </c>
      <c r="O136" s="29">
        <f t="shared" si="2"/>
        <v>114529450</v>
      </c>
      <c r="P136" s="29">
        <f t="shared" si="3"/>
        <v>181792777.8</v>
      </c>
      <c r="Q136" s="29">
        <f t="shared" si="4"/>
        <v>67263327.78</v>
      </c>
      <c r="R136" s="4">
        <v>0.075</v>
      </c>
      <c r="S136" s="29">
        <f t="shared" si="5"/>
        <v>131708867.5</v>
      </c>
      <c r="T136" s="29">
        <f t="shared" si="6"/>
        <v>209061694.4</v>
      </c>
      <c r="U136" s="29">
        <f t="shared" si="7"/>
        <v>77352826.94</v>
      </c>
    </row>
    <row r="137" ht="14.25" customHeight="1">
      <c r="A137" s="2">
        <v>135.0</v>
      </c>
      <c r="B137" s="2" t="s">
        <v>462</v>
      </c>
      <c r="C137" s="2" t="s">
        <v>463</v>
      </c>
      <c r="D137" s="3">
        <v>2.2E9</v>
      </c>
      <c r="E137" s="2" t="s">
        <v>47</v>
      </c>
      <c r="F137" s="4" t="str">
        <f>VLOOKUP(B137,Raw_Data_Collection!$B$2:$F$215,5,FALSE)</f>
        <v>N</v>
      </c>
      <c r="G137" s="3" t="str">
        <f>VLOOKUP(B137,Raw_Data_Collection!$B$2:$J$215,6,FALSE)</f>
        <v/>
      </c>
      <c r="J137" s="2" t="str">
        <f>VLOOKUP(B137,Raw_Data_Collection!$B$2:$J$215,9,FALSE)</f>
        <v/>
      </c>
      <c r="K137" s="18">
        <f>VLOOKUP(B137,Real_Estate_Stats!$A$2:$G$215,7,FALSE)</f>
        <v>13992785.71</v>
      </c>
      <c r="L137" s="18">
        <f t="shared" si="1"/>
        <v>2186007214</v>
      </c>
      <c r="M137" s="4">
        <v>0.37</v>
      </c>
      <c r="N137" s="4">
        <v>0.05</v>
      </c>
      <c r="O137" s="29">
        <f t="shared" si="2"/>
        <v>109300360.7</v>
      </c>
      <c r="P137" s="29">
        <f t="shared" si="3"/>
        <v>173492636.1</v>
      </c>
      <c r="Q137" s="29">
        <f t="shared" si="4"/>
        <v>64192275.34</v>
      </c>
      <c r="R137" s="4">
        <v>0.075</v>
      </c>
      <c r="S137" s="29">
        <f t="shared" si="5"/>
        <v>125695414.8</v>
      </c>
      <c r="T137" s="29">
        <f t="shared" si="6"/>
        <v>199516531.5</v>
      </c>
      <c r="U137" s="29">
        <f t="shared" si="7"/>
        <v>73821116.64</v>
      </c>
    </row>
    <row r="138" ht="14.25" customHeight="1">
      <c r="A138" s="2">
        <v>136.0</v>
      </c>
      <c r="B138" s="2" t="s">
        <v>464</v>
      </c>
      <c r="C138" s="2" t="s">
        <v>463</v>
      </c>
      <c r="D138" s="3">
        <v>2.2E9</v>
      </c>
      <c r="E138" s="2" t="s">
        <v>90</v>
      </c>
      <c r="F138" s="4" t="str">
        <f>VLOOKUP(B138,Raw_Data_Collection!$B$2:$F$215,5,FALSE)</f>
        <v>N</v>
      </c>
      <c r="G138" s="3">
        <f>VLOOKUP(B138,Raw_Data_Collection!$B$2:$J$215,6,FALSE)</f>
        <v>44000000</v>
      </c>
      <c r="J138" s="18">
        <f>VLOOKUP(B138,Raw_Data_Collection!$B$2:$J$215,9,FALSE)</f>
        <v>54062200</v>
      </c>
      <c r="K138" s="18">
        <f>VLOOKUP(B138,Real_Estate_Stats!$A$2:$G$215,7,FALSE)</f>
        <v>13992785.71</v>
      </c>
      <c r="L138" s="18">
        <f t="shared" si="1"/>
        <v>2186007214</v>
      </c>
      <c r="M138" s="4">
        <v>0.37</v>
      </c>
      <c r="N138" s="4">
        <v>0.05</v>
      </c>
      <c r="O138" s="29">
        <f t="shared" si="2"/>
        <v>109300360.7</v>
      </c>
      <c r="P138" s="29">
        <f t="shared" si="3"/>
        <v>173492636.1</v>
      </c>
      <c r="Q138" s="29">
        <f t="shared" si="4"/>
        <v>64192275.34</v>
      </c>
      <c r="R138" s="4">
        <v>0.075</v>
      </c>
      <c r="S138" s="29">
        <f t="shared" si="5"/>
        <v>125695414.8</v>
      </c>
      <c r="T138" s="29">
        <f t="shared" si="6"/>
        <v>199516531.5</v>
      </c>
      <c r="U138" s="29">
        <f t="shared" si="7"/>
        <v>73821116.64</v>
      </c>
    </row>
    <row r="139" ht="14.25" customHeight="1">
      <c r="A139" s="2">
        <v>137.0</v>
      </c>
      <c r="B139" s="2" t="s">
        <v>469</v>
      </c>
      <c r="C139" s="2" t="s">
        <v>463</v>
      </c>
      <c r="D139" s="3">
        <v>2.2E9</v>
      </c>
      <c r="E139" s="2" t="s">
        <v>47</v>
      </c>
      <c r="F139" s="4" t="str">
        <f>VLOOKUP(B139,Raw_Data_Collection!$B$2:$F$215,5,FALSE)</f>
        <v>N</v>
      </c>
      <c r="G139" s="3">
        <f>VLOOKUP(B139,Raw_Data_Collection!$B$2:$J$215,6,FALSE)</f>
        <v>38750000</v>
      </c>
      <c r="H139" s="5" t="s">
        <v>470</v>
      </c>
      <c r="I139" s="4">
        <v>2017.0</v>
      </c>
      <c r="J139" s="2" t="str">
        <f>VLOOKUP(B139,Raw_Data_Collection!$B$2:$J$215,9,FALSE)</f>
        <v/>
      </c>
      <c r="K139" s="18">
        <f>VLOOKUP(B139,Real_Estate_Stats!$A$2:$G$215,7,FALSE)</f>
        <v>38750000</v>
      </c>
      <c r="L139" s="18">
        <f t="shared" si="1"/>
        <v>2161250000</v>
      </c>
      <c r="M139" s="4">
        <v>0.37</v>
      </c>
      <c r="N139" s="4">
        <v>0.05</v>
      </c>
      <c r="O139" s="29">
        <f t="shared" si="2"/>
        <v>108062500</v>
      </c>
      <c r="P139" s="29">
        <f t="shared" si="3"/>
        <v>171527777.8</v>
      </c>
      <c r="Q139" s="29">
        <f t="shared" si="4"/>
        <v>63465277.78</v>
      </c>
      <c r="R139" s="4">
        <v>0.075</v>
      </c>
      <c r="S139" s="29">
        <f t="shared" si="5"/>
        <v>124271875</v>
      </c>
      <c r="T139" s="29">
        <f t="shared" si="6"/>
        <v>197256944.4</v>
      </c>
      <c r="U139" s="29">
        <f t="shared" si="7"/>
        <v>72985069.44</v>
      </c>
      <c r="V139" s="4"/>
      <c r="W139" s="4"/>
    </row>
    <row r="140" ht="14.25" customHeight="1">
      <c r="A140" s="2">
        <v>138.0</v>
      </c>
      <c r="B140" s="2" t="s">
        <v>471</v>
      </c>
      <c r="C140" s="2" t="s">
        <v>463</v>
      </c>
      <c r="D140" s="3">
        <v>2.2E9</v>
      </c>
      <c r="E140" s="2" t="s">
        <v>100</v>
      </c>
      <c r="F140" s="4" t="str">
        <f>VLOOKUP(B140,Raw_Data_Collection!$B$2:$F$215,5,FALSE)</f>
        <v>N</v>
      </c>
      <c r="G140" s="3" t="str">
        <f>VLOOKUP(B140,Raw_Data_Collection!$B$2:$J$215,6,FALSE)</f>
        <v/>
      </c>
      <c r="J140" s="2" t="str">
        <f>VLOOKUP(B140,Raw_Data_Collection!$B$2:$J$215,9,FALSE)</f>
        <v/>
      </c>
      <c r="K140" s="18">
        <f>VLOOKUP(B140,Real_Estate_Stats!$A$2:$G$215,7,FALSE)</f>
        <v>13992785.71</v>
      </c>
      <c r="L140" s="18">
        <f t="shared" si="1"/>
        <v>2186007214</v>
      </c>
      <c r="M140" s="4">
        <v>0.37</v>
      </c>
      <c r="N140" s="4">
        <v>0.05</v>
      </c>
      <c r="O140" s="29">
        <f t="shared" si="2"/>
        <v>109300360.7</v>
      </c>
      <c r="P140" s="29">
        <f t="shared" si="3"/>
        <v>173492636.1</v>
      </c>
      <c r="Q140" s="29">
        <f t="shared" si="4"/>
        <v>64192275.34</v>
      </c>
      <c r="R140" s="4">
        <v>0.075</v>
      </c>
      <c r="S140" s="29">
        <f t="shared" si="5"/>
        <v>125695414.8</v>
      </c>
      <c r="T140" s="29">
        <f t="shared" si="6"/>
        <v>199516531.5</v>
      </c>
      <c r="U140" s="29">
        <f t="shared" si="7"/>
        <v>73821116.64</v>
      </c>
    </row>
    <row r="141" ht="14.25" customHeight="1">
      <c r="A141" s="2">
        <v>139.0</v>
      </c>
      <c r="B141" s="2" t="s">
        <v>473</v>
      </c>
      <c r="C141" s="2" t="s">
        <v>463</v>
      </c>
      <c r="D141" s="3">
        <v>2.2E9</v>
      </c>
      <c r="E141" s="2" t="s">
        <v>113</v>
      </c>
      <c r="F141" s="4" t="str">
        <f>VLOOKUP(B141,Raw_Data_Collection!$B$2:$F$215,5,FALSE)</f>
        <v>N</v>
      </c>
      <c r="G141" s="3">
        <f>VLOOKUP(B141,Raw_Data_Collection!$B$2:$J$215,6,FALSE)</f>
        <v>6490000</v>
      </c>
      <c r="J141" s="2" t="str">
        <f>VLOOKUP(B141,Raw_Data_Collection!$B$2:$J$215,9,FALSE)</f>
        <v/>
      </c>
      <c r="K141" s="18">
        <f>VLOOKUP(B141,Real_Estate_Stats!$A$2:$G$215,7,FALSE)</f>
        <v>13992785.71</v>
      </c>
      <c r="L141" s="18">
        <f t="shared" si="1"/>
        <v>2186007214</v>
      </c>
      <c r="M141" s="4">
        <v>0.37</v>
      </c>
      <c r="N141" s="4">
        <v>0.05</v>
      </c>
      <c r="O141" s="29">
        <f t="shared" si="2"/>
        <v>109300360.7</v>
      </c>
      <c r="P141" s="29">
        <f t="shared" si="3"/>
        <v>173492636.1</v>
      </c>
      <c r="Q141" s="29">
        <f t="shared" si="4"/>
        <v>64192275.34</v>
      </c>
      <c r="R141" s="4">
        <v>0.075</v>
      </c>
      <c r="S141" s="29">
        <f t="shared" si="5"/>
        <v>125695414.8</v>
      </c>
      <c r="T141" s="29">
        <f t="shared" si="6"/>
        <v>199516531.5</v>
      </c>
      <c r="U141" s="29">
        <f t="shared" si="7"/>
        <v>73821116.64</v>
      </c>
    </row>
    <row r="142" ht="14.25" customHeight="1">
      <c r="A142" s="2">
        <v>140.0</v>
      </c>
      <c r="B142" s="2" t="s">
        <v>475</v>
      </c>
      <c r="C142" s="2" t="s">
        <v>463</v>
      </c>
      <c r="D142" s="3">
        <v>2.2E9</v>
      </c>
      <c r="E142" s="2" t="s">
        <v>90</v>
      </c>
      <c r="F142" s="4" t="str">
        <f>VLOOKUP(B142,Raw_Data_Collection!$B$2:$F$215,5,FALSE)</f>
        <v>N</v>
      </c>
      <c r="G142" s="3">
        <f>VLOOKUP(B142,Raw_Data_Collection!$B$2:$J$215,6,FALSE)</f>
        <v>30000000</v>
      </c>
      <c r="H142" s="5" t="s">
        <v>476</v>
      </c>
      <c r="I142" s="4">
        <v>2019.0</v>
      </c>
      <c r="J142" s="2" t="str">
        <f>VLOOKUP(B142,Raw_Data_Collection!$B$2:$J$215,9,FALSE)</f>
        <v/>
      </c>
      <c r="K142" s="18">
        <f>VLOOKUP(B142,Real_Estate_Stats!$A$2:$G$215,7,FALSE)</f>
        <v>30000000</v>
      </c>
      <c r="L142" s="18">
        <f t="shared" si="1"/>
        <v>2170000000</v>
      </c>
      <c r="M142" s="4">
        <v>0.37</v>
      </c>
      <c r="N142" s="4">
        <v>0.05</v>
      </c>
      <c r="O142" s="29">
        <f t="shared" si="2"/>
        <v>108500000</v>
      </c>
      <c r="P142" s="29">
        <f t="shared" si="3"/>
        <v>172222222.2</v>
      </c>
      <c r="Q142" s="29">
        <f t="shared" si="4"/>
        <v>63722222.22</v>
      </c>
      <c r="R142" s="4">
        <v>0.075</v>
      </c>
      <c r="S142" s="29">
        <f t="shared" si="5"/>
        <v>124775000</v>
      </c>
      <c r="T142" s="29">
        <f t="shared" si="6"/>
        <v>198055555.6</v>
      </c>
      <c r="U142" s="29">
        <f t="shared" si="7"/>
        <v>73280555.56</v>
      </c>
      <c r="V142" s="4"/>
      <c r="W142" s="4"/>
    </row>
    <row r="143" ht="14.25" customHeight="1">
      <c r="A143" s="2">
        <v>141.0</v>
      </c>
      <c r="B143" s="2" t="s">
        <v>477</v>
      </c>
      <c r="C143" s="2" t="s">
        <v>463</v>
      </c>
      <c r="D143" s="3">
        <v>2.2E9</v>
      </c>
      <c r="E143" s="2" t="s">
        <v>100</v>
      </c>
      <c r="F143" s="4" t="str">
        <f>VLOOKUP(B143,Raw_Data_Collection!$B$2:$F$215,5,FALSE)</f>
        <v>N</v>
      </c>
      <c r="G143" s="3" t="str">
        <f>VLOOKUP(B143,Raw_Data_Collection!$B$2:$J$215,6,FALSE)</f>
        <v/>
      </c>
      <c r="J143" s="2" t="str">
        <f>VLOOKUP(B143,Raw_Data_Collection!$B$2:$J$215,9,FALSE)</f>
        <v/>
      </c>
      <c r="K143" s="18">
        <f>VLOOKUP(B143,Real_Estate_Stats!$A$2:$G$215,7,FALSE)</f>
        <v>13992785.71</v>
      </c>
      <c r="L143" s="18">
        <f t="shared" si="1"/>
        <v>2186007214</v>
      </c>
      <c r="M143" s="4">
        <v>0.37</v>
      </c>
      <c r="N143" s="4">
        <v>0.05</v>
      </c>
      <c r="O143" s="29">
        <f t="shared" si="2"/>
        <v>109300360.7</v>
      </c>
      <c r="P143" s="29">
        <f t="shared" si="3"/>
        <v>173492636.1</v>
      </c>
      <c r="Q143" s="29">
        <f t="shared" si="4"/>
        <v>64192275.34</v>
      </c>
      <c r="R143" s="4">
        <v>0.075</v>
      </c>
      <c r="S143" s="29">
        <f t="shared" si="5"/>
        <v>125695414.8</v>
      </c>
      <c r="T143" s="29">
        <f t="shared" si="6"/>
        <v>199516531.5</v>
      </c>
      <c r="U143" s="29">
        <f t="shared" si="7"/>
        <v>73821116.64</v>
      </c>
    </row>
    <row r="144" ht="14.25" customHeight="1">
      <c r="A144" s="2">
        <v>142.0</v>
      </c>
      <c r="B144" s="2" t="s">
        <v>478</v>
      </c>
      <c r="C144" s="2" t="s">
        <v>463</v>
      </c>
      <c r="D144" s="3">
        <v>2.2E9</v>
      </c>
      <c r="E144" s="2" t="s">
        <v>100</v>
      </c>
      <c r="F144" s="4" t="str">
        <f>VLOOKUP(B144,Raw_Data_Collection!$B$2:$F$215,5,FALSE)</f>
        <v>N</v>
      </c>
      <c r="G144" s="3">
        <f>VLOOKUP(B144,Raw_Data_Collection!$B$2:$J$215,6,FALSE)</f>
        <v>5328000</v>
      </c>
      <c r="J144" s="2" t="str">
        <f>VLOOKUP(B144,Raw_Data_Collection!$B$2:$J$215,9,FALSE)</f>
        <v/>
      </c>
      <c r="K144" s="18">
        <f>VLOOKUP(B144,Real_Estate_Stats!$A$2:$G$215,7,FALSE)</f>
        <v>13992785.71</v>
      </c>
      <c r="L144" s="18">
        <f t="shared" si="1"/>
        <v>2186007214</v>
      </c>
      <c r="M144" s="4">
        <v>0.37</v>
      </c>
      <c r="N144" s="4">
        <v>0.05</v>
      </c>
      <c r="O144" s="29">
        <f t="shared" si="2"/>
        <v>109300360.7</v>
      </c>
      <c r="P144" s="29">
        <f t="shared" si="3"/>
        <v>173492636.1</v>
      </c>
      <c r="Q144" s="29">
        <f t="shared" si="4"/>
        <v>64192275.34</v>
      </c>
      <c r="R144" s="4">
        <v>0.075</v>
      </c>
      <c r="S144" s="29">
        <f t="shared" si="5"/>
        <v>125695414.8</v>
      </c>
      <c r="T144" s="29">
        <f t="shared" si="6"/>
        <v>199516531.5</v>
      </c>
      <c r="U144" s="29">
        <f t="shared" si="7"/>
        <v>73821116.64</v>
      </c>
    </row>
    <row r="145" ht="14.25" customHeight="1">
      <c r="A145" s="2">
        <v>143.0</v>
      </c>
      <c r="B145" s="2" t="s">
        <v>481</v>
      </c>
      <c r="C145" s="2" t="s">
        <v>463</v>
      </c>
      <c r="D145" s="3">
        <v>2.2E9</v>
      </c>
      <c r="E145" s="2" t="s">
        <v>100</v>
      </c>
      <c r="F145" s="4" t="str">
        <f>VLOOKUP(B145,Raw_Data_Collection!$B$2:$F$215,5,FALSE)</f>
        <v>N</v>
      </c>
      <c r="G145" s="3">
        <f>VLOOKUP(B145,Raw_Data_Collection!$B$2:$J$215,6,FALSE)</f>
        <v>3526000</v>
      </c>
      <c r="J145" s="2" t="str">
        <f>VLOOKUP(B145,Raw_Data_Collection!$B$2:$J$215,9,FALSE)</f>
        <v/>
      </c>
      <c r="K145" s="18">
        <f>VLOOKUP(B145,Real_Estate_Stats!$A$2:$G$215,7,FALSE)</f>
        <v>13992785.71</v>
      </c>
      <c r="L145" s="18">
        <f t="shared" si="1"/>
        <v>2186007214</v>
      </c>
      <c r="M145" s="4">
        <v>0.37</v>
      </c>
      <c r="N145" s="4">
        <v>0.05</v>
      </c>
      <c r="O145" s="29">
        <f t="shared" si="2"/>
        <v>109300360.7</v>
      </c>
      <c r="P145" s="29">
        <f t="shared" si="3"/>
        <v>173492636.1</v>
      </c>
      <c r="Q145" s="29">
        <f t="shared" si="4"/>
        <v>64192275.34</v>
      </c>
      <c r="R145" s="4">
        <v>0.075</v>
      </c>
      <c r="S145" s="29">
        <f t="shared" si="5"/>
        <v>125695414.8</v>
      </c>
      <c r="T145" s="29">
        <f t="shared" si="6"/>
        <v>199516531.5</v>
      </c>
      <c r="U145" s="29">
        <f t="shared" si="7"/>
        <v>73821116.64</v>
      </c>
    </row>
    <row r="146" ht="14.25" customHeight="1">
      <c r="A146" s="2">
        <v>144.0</v>
      </c>
      <c r="B146" s="2" t="s">
        <v>484</v>
      </c>
      <c r="C146" s="2" t="s">
        <v>485</v>
      </c>
      <c r="D146" s="3">
        <v>2.1E9</v>
      </c>
      <c r="E146" s="2" t="s">
        <v>47</v>
      </c>
      <c r="F146" s="4" t="str">
        <f>VLOOKUP(B146,Raw_Data_Collection!$B$2:$F$215,5,FALSE)</f>
        <v>N</v>
      </c>
      <c r="G146" s="3">
        <f>VLOOKUP(B146,Raw_Data_Collection!$B$2:$J$215,6,FALSE)</f>
        <v>12482485</v>
      </c>
      <c r="J146" s="2" t="str">
        <f>VLOOKUP(B146,Raw_Data_Collection!$B$2:$J$215,9,FALSE)</f>
        <v/>
      </c>
      <c r="K146" s="18">
        <f>VLOOKUP(B146,Real_Estate_Stats!$A$2:$G$215,7,FALSE)</f>
        <v>13356750</v>
      </c>
      <c r="L146" s="18">
        <f t="shared" si="1"/>
        <v>2086643250</v>
      </c>
      <c r="M146" s="4">
        <v>0.37</v>
      </c>
      <c r="N146" s="4">
        <v>0.05</v>
      </c>
      <c r="O146" s="29">
        <f t="shared" si="2"/>
        <v>104332162.5</v>
      </c>
      <c r="P146" s="29">
        <f t="shared" si="3"/>
        <v>165606607.1</v>
      </c>
      <c r="Q146" s="29">
        <f t="shared" si="4"/>
        <v>61274444.64</v>
      </c>
      <c r="R146" s="4">
        <v>0.075</v>
      </c>
      <c r="S146" s="29">
        <f t="shared" si="5"/>
        <v>119981986.9</v>
      </c>
      <c r="T146" s="29">
        <f t="shared" si="6"/>
        <v>190447598.2</v>
      </c>
      <c r="U146" s="29">
        <f t="shared" si="7"/>
        <v>70465611.34</v>
      </c>
    </row>
    <row r="147" ht="14.25" customHeight="1">
      <c r="A147" s="2">
        <v>145.0</v>
      </c>
      <c r="B147" s="2" t="s">
        <v>488</v>
      </c>
      <c r="C147" s="2" t="s">
        <v>485</v>
      </c>
      <c r="D147" s="3">
        <v>2.1E9</v>
      </c>
      <c r="E147" s="2" t="s">
        <v>100</v>
      </c>
      <c r="F147" s="4" t="str">
        <f>VLOOKUP(B147,Raw_Data_Collection!$B$2:$F$215,5,FALSE)</f>
        <v>N</v>
      </c>
      <c r="G147" s="3">
        <f>VLOOKUP(B147,Raw_Data_Collection!$B$2:$J$215,6,FALSE)</f>
        <v>5512000</v>
      </c>
      <c r="H147" s="5" t="s">
        <v>489</v>
      </c>
      <c r="I147" s="4">
        <v>2026.0</v>
      </c>
      <c r="J147" s="2" t="str">
        <f>VLOOKUP(B147,Raw_Data_Collection!$B$2:$J$215,9,FALSE)</f>
        <v/>
      </c>
      <c r="K147" s="18">
        <f>VLOOKUP(B147,Real_Estate_Stats!$A$2:$G$215,7,FALSE)</f>
        <v>5512000</v>
      </c>
      <c r="L147" s="18">
        <f t="shared" si="1"/>
        <v>2094488000</v>
      </c>
      <c r="M147" s="4">
        <v>0.37</v>
      </c>
      <c r="N147" s="4">
        <v>0.05</v>
      </c>
      <c r="O147" s="29">
        <f t="shared" si="2"/>
        <v>104724400</v>
      </c>
      <c r="P147" s="29">
        <f t="shared" si="3"/>
        <v>166229206.3</v>
      </c>
      <c r="Q147" s="29">
        <f t="shared" si="4"/>
        <v>61504806.35</v>
      </c>
      <c r="R147" s="4">
        <v>0.075</v>
      </c>
      <c r="S147" s="29">
        <f t="shared" si="5"/>
        <v>120433060</v>
      </c>
      <c r="T147" s="29">
        <f t="shared" si="6"/>
        <v>191163587.3</v>
      </c>
      <c r="U147" s="29">
        <f t="shared" si="7"/>
        <v>70730527.3</v>
      </c>
      <c r="V147" s="4"/>
      <c r="W147" s="4"/>
      <c r="X147" s="14" t="s">
        <v>726</v>
      </c>
    </row>
    <row r="148" ht="14.25" customHeight="1">
      <c r="A148" s="2">
        <v>146.0</v>
      </c>
      <c r="B148" s="2" t="s">
        <v>491</v>
      </c>
      <c r="C148" s="2" t="s">
        <v>485</v>
      </c>
      <c r="D148" s="3">
        <v>2.1E9</v>
      </c>
      <c r="E148" s="2" t="s">
        <v>47</v>
      </c>
      <c r="F148" s="4" t="str">
        <f>VLOOKUP(B148,Raw_Data_Collection!$B$2:$F$215,5,FALSE)</f>
        <v>N</v>
      </c>
      <c r="G148" s="3">
        <f>VLOOKUP(B148,Raw_Data_Collection!$B$2:$J$215,6,FALSE)</f>
        <v>141000000</v>
      </c>
      <c r="H148" s="5" t="s">
        <v>492</v>
      </c>
      <c r="I148" s="4">
        <v>2022.0</v>
      </c>
      <c r="J148" s="2" t="str">
        <f>VLOOKUP(B148,Raw_Data_Collection!$B$2:$J$215,9,FALSE)</f>
        <v/>
      </c>
      <c r="K148" s="18">
        <f>VLOOKUP(B148,Real_Estate_Stats!$A$2:$G$215,7,FALSE)</f>
        <v>141000000</v>
      </c>
      <c r="L148" s="18">
        <f t="shared" si="1"/>
        <v>1959000000</v>
      </c>
      <c r="M148" s="4">
        <v>0.37</v>
      </c>
      <c r="N148" s="4">
        <v>0.05</v>
      </c>
      <c r="O148" s="29">
        <f t="shared" si="2"/>
        <v>97950000</v>
      </c>
      <c r="P148" s="29">
        <f t="shared" si="3"/>
        <v>155476190.5</v>
      </c>
      <c r="Q148" s="29">
        <f t="shared" si="4"/>
        <v>57526190.48</v>
      </c>
      <c r="R148" s="4">
        <v>0.075</v>
      </c>
      <c r="S148" s="29">
        <f t="shared" si="5"/>
        <v>112642500</v>
      </c>
      <c r="T148" s="29">
        <f t="shared" si="6"/>
        <v>178797619</v>
      </c>
      <c r="U148" s="29">
        <f t="shared" si="7"/>
        <v>66155119.05</v>
      </c>
      <c r="V148" s="4"/>
      <c r="W148" s="4"/>
    </row>
    <row r="149" ht="14.25" customHeight="1">
      <c r="A149" s="2">
        <v>147.0</v>
      </c>
      <c r="B149" s="2" t="s">
        <v>493</v>
      </c>
      <c r="C149" s="2" t="s">
        <v>485</v>
      </c>
      <c r="D149" s="3">
        <v>2.1E9</v>
      </c>
      <c r="E149" s="2" t="s">
        <v>80</v>
      </c>
      <c r="F149" s="4" t="str">
        <f>VLOOKUP(B149,Raw_Data_Collection!$B$2:$F$215,5,FALSE)</f>
        <v>N</v>
      </c>
      <c r="G149" s="3">
        <f>VLOOKUP(B149,Raw_Data_Collection!$B$2:$J$215,6,FALSE)</f>
        <v>17000000</v>
      </c>
      <c r="H149" s="5" t="s">
        <v>494</v>
      </c>
      <c r="I149" s="4">
        <v>2026.0</v>
      </c>
      <c r="J149" s="2" t="str">
        <f>VLOOKUP(B149,Raw_Data_Collection!$B$2:$J$215,9,FALSE)</f>
        <v/>
      </c>
      <c r="K149" s="18">
        <f>VLOOKUP(B149,Real_Estate_Stats!$A$2:$G$215,7,FALSE)</f>
        <v>17000000</v>
      </c>
      <c r="L149" s="18">
        <f t="shared" si="1"/>
        <v>2083000000</v>
      </c>
      <c r="M149" s="4">
        <v>0.37</v>
      </c>
      <c r="N149" s="4">
        <v>0.05</v>
      </c>
      <c r="O149" s="29">
        <f t="shared" si="2"/>
        <v>104150000</v>
      </c>
      <c r="P149" s="29">
        <f t="shared" si="3"/>
        <v>165317460.3</v>
      </c>
      <c r="Q149" s="29">
        <f t="shared" si="4"/>
        <v>61167460.32</v>
      </c>
      <c r="R149" s="4">
        <v>0.075</v>
      </c>
      <c r="S149" s="29">
        <f t="shared" si="5"/>
        <v>119772500</v>
      </c>
      <c r="T149" s="29">
        <f t="shared" si="6"/>
        <v>190115079.4</v>
      </c>
      <c r="U149" s="29">
        <f t="shared" si="7"/>
        <v>70342579.37</v>
      </c>
      <c r="V149" s="4"/>
      <c r="W149" s="4"/>
    </row>
    <row r="150" ht="14.25" customHeight="1">
      <c r="A150" s="2">
        <v>148.0</v>
      </c>
      <c r="B150" s="2" t="s">
        <v>495</v>
      </c>
      <c r="C150" s="2" t="s">
        <v>485</v>
      </c>
      <c r="D150" s="3">
        <v>2.1E9</v>
      </c>
      <c r="E150" s="2" t="s">
        <v>100</v>
      </c>
      <c r="F150" s="4" t="str">
        <f>VLOOKUP(B150,Raw_Data_Collection!$B$2:$F$215,5,FALSE)</f>
        <v>Y</v>
      </c>
      <c r="G150" s="3" t="str">
        <f>VLOOKUP(B150,Raw_Data_Collection!$B$2:$J$215,6,FALSE)</f>
        <v/>
      </c>
      <c r="J150" s="2" t="str">
        <f>VLOOKUP(B150,Raw_Data_Collection!$B$2:$J$215,9,FALSE)</f>
        <v/>
      </c>
      <c r="K150" s="18">
        <f>VLOOKUP(B150,Real_Estate_Stats!$A$2:$G$215,7,FALSE)</f>
        <v>13356750</v>
      </c>
      <c r="L150" s="18">
        <f t="shared" si="1"/>
        <v>2086643250</v>
      </c>
      <c r="M150" s="4">
        <v>0.37</v>
      </c>
      <c r="N150" s="4">
        <v>0.05</v>
      </c>
      <c r="O150" s="29">
        <f t="shared" si="2"/>
        <v>104332162.5</v>
      </c>
      <c r="P150" s="29">
        <f t="shared" si="3"/>
        <v>165606607.1</v>
      </c>
      <c r="Q150" s="29">
        <f t="shared" si="4"/>
        <v>61274444.64</v>
      </c>
      <c r="R150" s="4">
        <v>0.075</v>
      </c>
      <c r="S150" s="29">
        <f t="shared" si="5"/>
        <v>119981986.9</v>
      </c>
      <c r="T150" s="29">
        <f t="shared" si="6"/>
        <v>190447598.2</v>
      </c>
      <c r="U150" s="29">
        <f t="shared" si="7"/>
        <v>70465611.34</v>
      </c>
    </row>
    <row r="151" ht="14.25" customHeight="1">
      <c r="A151" s="2">
        <v>149.0</v>
      </c>
      <c r="B151" s="2" t="s">
        <v>496</v>
      </c>
      <c r="C151" s="2" t="s">
        <v>497</v>
      </c>
      <c r="D151" s="3">
        <v>2.0E9</v>
      </c>
      <c r="E151" s="2" t="s">
        <v>47</v>
      </c>
      <c r="F151" s="4" t="str">
        <f>VLOOKUP(B151,Raw_Data_Collection!$B$2:$F$215,5,FALSE)</f>
        <v>N</v>
      </c>
      <c r="G151" s="3">
        <f>VLOOKUP(B151,Raw_Data_Collection!$B$2:$J$215,6,FALSE)</f>
        <v>34000000</v>
      </c>
      <c r="H151" s="5" t="s">
        <v>498</v>
      </c>
      <c r="I151" s="4">
        <v>2023.0</v>
      </c>
      <c r="J151" s="2" t="str">
        <f>VLOOKUP(B151,Raw_Data_Collection!$B$2:$J$215,9,FALSE)</f>
        <v/>
      </c>
      <c r="K151" s="18">
        <f>VLOOKUP(B151,Real_Estate_Stats!$A$2:$G$215,7,FALSE)</f>
        <v>34000000</v>
      </c>
      <c r="L151" s="18">
        <f t="shared" si="1"/>
        <v>1966000000</v>
      </c>
      <c r="M151" s="4">
        <v>0.37</v>
      </c>
      <c r="N151" s="4">
        <v>0.05</v>
      </c>
      <c r="O151" s="29">
        <f t="shared" si="2"/>
        <v>98300000</v>
      </c>
      <c r="P151" s="29">
        <f t="shared" si="3"/>
        <v>156031746</v>
      </c>
      <c r="Q151" s="29">
        <f t="shared" si="4"/>
        <v>57731746.03</v>
      </c>
      <c r="R151" s="4">
        <v>0.075</v>
      </c>
      <c r="S151" s="29">
        <f t="shared" si="5"/>
        <v>113045000</v>
      </c>
      <c r="T151" s="29">
        <f t="shared" si="6"/>
        <v>179436507.9</v>
      </c>
      <c r="U151" s="29">
        <f t="shared" si="7"/>
        <v>66391507.94</v>
      </c>
      <c r="V151" s="4"/>
      <c r="W151" s="4"/>
    </row>
    <row r="152" ht="14.25" customHeight="1">
      <c r="A152" s="2">
        <v>150.0</v>
      </c>
      <c r="B152" s="2" t="s">
        <v>499</v>
      </c>
      <c r="C152" s="2" t="s">
        <v>497</v>
      </c>
      <c r="D152" s="3">
        <v>2.0E9</v>
      </c>
      <c r="E152" s="2" t="s">
        <v>113</v>
      </c>
      <c r="F152" s="4" t="str">
        <f>VLOOKUP(B152,Raw_Data_Collection!$B$2:$F$215,5,FALSE)</f>
        <v>N</v>
      </c>
      <c r="G152" s="3">
        <f>VLOOKUP(B152,Raw_Data_Collection!$B$2:$J$215,6,FALSE)</f>
        <v>7322885</v>
      </c>
      <c r="H152" s="5" t="s">
        <v>500</v>
      </c>
      <c r="I152" s="4">
        <v>2026.0</v>
      </c>
      <c r="J152" s="2" t="str">
        <f>VLOOKUP(B152,Raw_Data_Collection!$B$2:$J$215,9,FALSE)</f>
        <v/>
      </c>
      <c r="K152" s="18">
        <f>VLOOKUP(B152,Real_Estate_Stats!$A$2:$G$215,7,FALSE)</f>
        <v>7322885</v>
      </c>
      <c r="L152" s="18">
        <f t="shared" si="1"/>
        <v>1992677115</v>
      </c>
      <c r="M152" s="4">
        <v>0.37</v>
      </c>
      <c r="N152" s="4">
        <v>0.05</v>
      </c>
      <c r="O152" s="29">
        <f t="shared" si="2"/>
        <v>99633855.75</v>
      </c>
      <c r="P152" s="29">
        <f t="shared" si="3"/>
        <v>158148977.4</v>
      </c>
      <c r="Q152" s="29">
        <f t="shared" si="4"/>
        <v>58515121.63</v>
      </c>
      <c r="R152" s="4">
        <v>0.075</v>
      </c>
      <c r="S152" s="29">
        <f t="shared" si="5"/>
        <v>114578934.1</v>
      </c>
      <c r="T152" s="29">
        <f t="shared" si="6"/>
        <v>181871324</v>
      </c>
      <c r="U152" s="29">
        <f t="shared" si="7"/>
        <v>67292389.88</v>
      </c>
      <c r="V152" s="4"/>
      <c r="W152" s="4"/>
      <c r="X152" s="14" t="s">
        <v>727</v>
      </c>
    </row>
    <row r="153" ht="14.25" customHeight="1">
      <c r="A153" s="2">
        <v>151.0</v>
      </c>
      <c r="B153" s="2" t="s">
        <v>502</v>
      </c>
      <c r="C153" s="2" t="s">
        <v>497</v>
      </c>
      <c r="D153" s="3">
        <v>2.0E9</v>
      </c>
      <c r="E153" s="2" t="s">
        <v>47</v>
      </c>
      <c r="F153" s="4" t="str">
        <f>VLOOKUP(B153,Raw_Data_Collection!$B$2:$F$215,5,FALSE)</f>
        <v>N</v>
      </c>
      <c r="G153" s="3">
        <f>VLOOKUP(B153,Raw_Data_Collection!$B$2:$J$215,6,FALSE)</f>
        <v>15315861</v>
      </c>
      <c r="J153" s="18">
        <f>VLOOKUP(B153,Raw_Data_Collection!$B$2:$J$215,9,FALSE)</f>
        <v>15315861</v>
      </c>
      <c r="K153" s="18">
        <f>VLOOKUP(B153,Real_Estate_Stats!$A$2:$G$215,7,FALSE)</f>
        <v>12720714.29</v>
      </c>
      <c r="L153" s="18">
        <f t="shared" si="1"/>
        <v>1987279286</v>
      </c>
      <c r="M153" s="4">
        <v>0.37</v>
      </c>
      <c r="N153" s="4">
        <v>0.05</v>
      </c>
      <c r="O153" s="29">
        <f t="shared" si="2"/>
        <v>99363964.29</v>
      </c>
      <c r="P153" s="29">
        <f t="shared" si="3"/>
        <v>157720578.2</v>
      </c>
      <c r="Q153" s="29">
        <f t="shared" si="4"/>
        <v>58356613.95</v>
      </c>
      <c r="R153" s="4">
        <v>0.075</v>
      </c>
      <c r="S153" s="29">
        <f t="shared" si="5"/>
        <v>114268558.9</v>
      </c>
      <c r="T153" s="29">
        <f t="shared" si="6"/>
        <v>181378665</v>
      </c>
      <c r="U153" s="29">
        <f t="shared" si="7"/>
        <v>67110106.04</v>
      </c>
    </row>
    <row r="154" ht="14.25" customHeight="1">
      <c r="A154" s="2">
        <v>152.0</v>
      </c>
      <c r="B154" s="2" t="s">
        <v>505</v>
      </c>
      <c r="C154" s="2" t="s">
        <v>497</v>
      </c>
      <c r="D154" s="3">
        <v>2.0E9</v>
      </c>
      <c r="E154" s="2" t="s">
        <v>100</v>
      </c>
      <c r="F154" s="4" t="str">
        <f>VLOOKUP(B154,Raw_Data_Collection!$B$2:$F$215,5,FALSE)</f>
        <v>N</v>
      </c>
      <c r="G154" s="3">
        <f>VLOOKUP(B154,Raw_Data_Collection!$B$2:$J$215,6,FALSE)</f>
        <v>4000000</v>
      </c>
      <c r="J154" s="2" t="str">
        <f>VLOOKUP(B154,Raw_Data_Collection!$B$2:$J$215,9,FALSE)</f>
        <v/>
      </c>
      <c r="K154" s="18">
        <f>VLOOKUP(B154,Real_Estate_Stats!$A$2:$G$215,7,FALSE)</f>
        <v>12720714.29</v>
      </c>
      <c r="L154" s="18">
        <f t="shared" si="1"/>
        <v>1987279286</v>
      </c>
      <c r="M154" s="4">
        <v>0.37</v>
      </c>
      <c r="N154" s="4">
        <v>0.05</v>
      </c>
      <c r="O154" s="29">
        <f t="shared" si="2"/>
        <v>99363964.29</v>
      </c>
      <c r="P154" s="29">
        <f t="shared" si="3"/>
        <v>157720578.2</v>
      </c>
      <c r="Q154" s="29">
        <f t="shared" si="4"/>
        <v>58356613.95</v>
      </c>
      <c r="R154" s="4">
        <v>0.075</v>
      </c>
      <c r="S154" s="29">
        <f t="shared" si="5"/>
        <v>114268558.9</v>
      </c>
      <c r="T154" s="29">
        <f t="shared" si="6"/>
        <v>181378665</v>
      </c>
      <c r="U154" s="29">
        <f t="shared" si="7"/>
        <v>67110106.04</v>
      </c>
    </row>
    <row r="155" ht="14.25" customHeight="1">
      <c r="A155" s="2">
        <v>153.0</v>
      </c>
      <c r="B155" s="2" t="s">
        <v>508</v>
      </c>
      <c r="C155" s="2" t="s">
        <v>497</v>
      </c>
      <c r="D155" s="3">
        <v>2.0E9</v>
      </c>
      <c r="E155" s="2" t="s">
        <v>509</v>
      </c>
      <c r="F155" s="4" t="str">
        <f>VLOOKUP(B155,Raw_Data_Collection!$B$2:$F$215,5,FALSE)</f>
        <v>N</v>
      </c>
      <c r="G155" s="3">
        <f>VLOOKUP(B155,Raw_Data_Collection!$B$2:$J$215,6,FALSE)</f>
        <v>30000000</v>
      </c>
      <c r="J155" s="18">
        <f>VLOOKUP(B155,Raw_Data_Collection!$B$2:$J$215,9,FALSE)</f>
        <v>47500000</v>
      </c>
      <c r="K155" s="18">
        <f>VLOOKUP(B155,Real_Estate_Stats!$A$2:$G$215,7,FALSE)</f>
        <v>12720714.29</v>
      </c>
      <c r="L155" s="18">
        <f t="shared" si="1"/>
        <v>1987279286</v>
      </c>
      <c r="M155" s="4">
        <v>0.37</v>
      </c>
      <c r="N155" s="4">
        <v>0.05</v>
      </c>
      <c r="O155" s="29">
        <f t="shared" si="2"/>
        <v>99363964.29</v>
      </c>
      <c r="P155" s="29">
        <f t="shared" si="3"/>
        <v>157720578.2</v>
      </c>
      <c r="Q155" s="29">
        <f t="shared" si="4"/>
        <v>58356613.95</v>
      </c>
      <c r="R155" s="4">
        <v>0.075</v>
      </c>
      <c r="S155" s="29">
        <f t="shared" si="5"/>
        <v>114268558.9</v>
      </c>
      <c r="T155" s="29">
        <f t="shared" si="6"/>
        <v>181378665</v>
      </c>
      <c r="U155" s="29">
        <f t="shared" si="7"/>
        <v>67110106.04</v>
      </c>
    </row>
    <row r="156" ht="14.25" customHeight="1">
      <c r="A156" s="2">
        <v>154.0</v>
      </c>
      <c r="B156" s="2" t="s">
        <v>513</v>
      </c>
      <c r="C156" s="2" t="s">
        <v>497</v>
      </c>
      <c r="D156" s="3">
        <v>2.0E9</v>
      </c>
      <c r="E156" s="2" t="s">
        <v>100</v>
      </c>
      <c r="F156" s="4" t="str">
        <f>VLOOKUP(B156,Raw_Data_Collection!$B$2:$F$215,5,FALSE)</f>
        <v>N</v>
      </c>
      <c r="G156" s="3" t="str">
        <f>VLOOKUP(B156,Raw_Data_Collection!$B$2:$J$215,6,FALSE)</f>
        <v/>
      </c>
      <c r="J156" s="2" t="str">
        <f>VLOOKUP(B156,Raw_Data_Collection!$B$2:$J$215,9,FALSE)</f>
        <v/>
      </c>
      <c r="K156" s="18">
        <f>VLOOKUP(B156,Real_Estate_Stats!$A$2:$G$215,7,FALSE)</f>
        <v>12720714.29</v>
      </c>
      <c r="L156" s="18">
        <f t="shared" si="1"/>
        <v>1987279286</v>
      </c>
      <c r="M156" s="4">
        <v>0.37</v>
      </c>
      <c r="N156" s="4">
        <v>0.05</v>
      </c>
      <c r="O156" s="29">
        <f t="shared" si="2"/>
        <v>99363964.29</v>
      </c>
      <c r="P156" s="29">
        <f t="shared" si="3"/>
        <v>157720578.2</v>
      </c>
      <c r="Q156" s="29">
        <f t="shared" si="4"/>
        <v>58356613.95</v>
      </c>
      <c r="R156" s="4">
        <v>0.075</v>
      </c>
      <c r="S156" s="29">
        <f t="shared" si="5"/>
        <v>114268558.9</v>
      </c>
      <c r="T156" s="29">
        <f t="shared" si="6"/>
        <v>181378665</v>
      </c>
      <c r="U156" s="29">
        <f t="shared" si="7"/>
        <v>67110106.04</v>
      </c>
    </row>
    <row r="157" ht="14.25" customHeight="1">
      <c r="A157" s="2">
        <v>155.0</v>
      </c>
      <c r="B157" s="2" t="s">
        <v>514</v>
      </c>
      <c r="C157" s="2" t="s">
        <v>515</v>
      </c>
      <c r="D157" s="3">
        <v>1.9E9</v>
      </c>
      <c r="E157" s="2" t="s">
        <v>100</v>
      </c>
      <c r="F157" s="4" t="str">
        <f>VLOOKUP(B157,Raw_Data_Collection!$B$2:$F$215,5,FALSE)</f>
        <v>N</v>
      </c>
      <c r="G157" s="3">
        <f>VLOOKUP(B157,Raw_Data_Collection!$B$2:$J$215,6,FALSE)</f>
        <v>27000000</v>
      </c>
      <c r="H157" s="5" t="s">
        <v>516</v>
      </c>
      <c r="I157" s="4">
        <v>2024.0</v>
      </c>
      <c r="J157" s="2" t="str">
        <f>VLOOKUP(B157,Raw_Data_Collection!$B$2:$J$215,9,FALSE)</f>
        <v/>
      </c>
      <c r="K157" s="18">
        <f>VLOOKUP(B157,Real_Estate_Stats!$A$2:$G$215,7,FALSE)</f>
        <v>27000000</v>
      </c>
      <c r="L157" s="18">
        <f t="shared" si="1"/>
        <v>1873000000</v>
      </c>
      <c r="M157" s="4">
        <v>0.37</v>
      </c>
      <c r="N157" s="4">
        <v>0.05</v>
      </c>
      <c r="O157" s="29">
        <f t="shared" si="2"/>
        <v>93650000</v>
      </c>
      <c r="P157" s="29">
        <f t="shared" si="3"/>
        <v>148650793.7</v>
      </c>
      <c r="Q157" s="29">
        <f t="shared" si="4"/>
        <v>55000793.65</v>
      </c>
      <c r="R157" s="4">
        <v>0.075</v>
      </c>
      <c r="S157" s="29">
        <f t="shared" si="5"/>
        <v>107697500</v>
      </c>
      <c r="T157" s="29">
        <f t="shared" si="6"/>
        <v>170948412.7</v>
      </c>
      <c r="U157" s="29">
        <f t="shared" si="7"/>
        <v>63250912.7</v>
      </c>
      <c r="V157" s="4"/>
      <c r="W157" s="4"/>
    </row>
    <row r="158" ht="14.25" customHeight="1">
      <c r="A158" s="2">
        <v>156.0</v>
      </c>
      <c r="B158" s="2" t="s">
        <v>517</v>
      </c>
      <c r="C158" s="2" t="s">
        <v>515</v>
      </c>
      <c r="D158" s="3">
        <v>1.9E9</v>
      </c>
      <c r="E158" s="2" t="s">
        <v>80</v>
      </c>
      <c r="F158" s="4" t="str">
        <f>VLOOKUP(B158,Raw_Data_Collection!$B$2:$F$215,5,FALSE)</f>
        <v>N</v>
      </c>
      <c r="G158" s="3">
        <f>VLOOKUP(B158,Raw_Data_Collection!$B$2:$J$215,6,FALSE)</f>
        <v>14281449</v>
      </c>
      <c r="J158" s="2" t="str">
        <f>VLOOKUP(B158,Raw_Data_Collection!$B$2:$J$215,9,FALSE)</f>
        <v/>
      </c>
      <c r="K158" s="18">
        <f>VLOOKUP(B158,Real_Estate_Stats!$A$2:$G$215,7,FALSE)</f>
        <v>12084678.57</v>
      </c>
      <c r="L158" s="18">
        <f t="shared" si="1"/>
        <v>1887915321</v>
      </c>
      <c r="M158" s="4">
        <v>0.37</v>
      </c>
      <c r="N158" s="4">
        <v>0.05</v>
      </c>
      <c r="O158" s="29">
        <f t="shared" si="2"/>
        <v>94395766.07</v>
      </c>
      <c r="P158" s="29">
        <f t="shared" si="3"/>
        <v>149834549.3</v>
      </c>
      <c r="Q158" s="29">
        <f t="shared" si="4"/>
        <v>55438783.25</v>
      </c>
      <c r="R158" s="4">
        <v>0.075</v>
      </c>
      <c r="S158" s="29">
        <f t="shared" si="5"/>
        <v>108555131</v>
      </c>
      <c r="T158" s="29">
        <f t="shared" si="6"/>
        <v>172309731.7</v>
      </c>
      <c r="U158" s="29">
        <f t="shared" si="7"/>
        <v>63754600.74</v>
      </c>
    </row>
    <row r="159" ht="14.25" customHeight="1">
      <c r="A159" s="2">
        <v>157.0</v>
      </c>
      <c r="B159" s="2" t="s">
        <v>520</v>
      </c>
      <c r="C159" s="2" t="s">
        <v>515</v>
      </c>
      <c r="D159" s="3">
        <v>1.9E9</v>
      </c>
      <c r="E159" s="2" t="s">
        <v>100</v>
      </c>
      <c r="F159" s="4" t="str">
        <f>VLOOKUP(B159,Raw_Data_Collection!$B$2:$F$215,5,FALSE)</f>
        <v>N</v>
      </c>
      <c r="G159" s="3" t="str">
        <f>VLOOKUP(B159,Raw_Data_Collection!$B$2:$J$215,6,FALSE)</f>
        <v/>
      </c>
      <c r="J159" s="2" t="str">
        <f>VLOOKUP(B159,Raw_Data_Collection!$B$2:$J$215,9,FALSE)</f>
        <v/>
      </c>
      <c r="K159" s="18">
        <f>VLOOKUP(B159,Real_Estate_Stats!$A$2:$G$215,7,FALSE)</f>
        <v>12084678.57</v>
      </c>
      <c r="L159" s="18">
        <f t="shared" si="1"/>
        <v>1887915321</v>
      </c>
      <c r="M159" s="4">
        <v>0.37</v>
      </c>
      <c r="N159" s="4">
        <v>0.05</v>
      </c>
      <c r="O159" s="29">
        <f t="shared" si="2"/>
        <v>94395766.07</v>
      </c>
      <c r="P159" s="29">
        <f t="shared" si="3"/>
        <v>149834549.3</v>
      </c>
      <c r="Q159" s="29">
        <f t="shared" si="4"/>
        <v>55438783.25</v>
      </c>
      <c r="R159" s="4">
        <v>0.075</v>
      </c>
      <c r="S159" s="29">
        <f t="shared" si="5"/>
        <v>108555131</v>
      </c>
      <c r="T159" s="29">
        <f t="shared" si="6"/>
        <v>172309731.7</v>
      </c>
      <c r="U159" s="29">
        <f t="shared" si="7"/>
        <v>63754600.74</v>
      </c>
    </row>
    <row r="160" ht="14.25" customHeight="1">
      <c r="A160" s="2">
        <v>158.0</v>
      </c>
      <c r="B160" s="2" t="s">
        <v>521</v>
      </c>
      <c r="C160" s="2" t="s">
        <v>515</v>
      </c>
      <c r="D160" s="3">
        <v>1.9E9</v>
      </c>
      <c r="E160" s="2" t="s">
        <v>166</v>
      </c>
      <c r="F160" s="4" t="str">
        <f>VLOOKUP(B160,Raw_Data_Collection!$B$2:$F$215,5,FALSE)</f>
        <v>N</v>
      </c>
      <c r="G160" s="3">
        <f>VLOOKUP(B160,Raw_Data_Collection!$B$2:$J$215,6,FALSE)</f>
        <v>110000000</v>
      </c>
      <c r="H160" s="5" t="s">
        <v>522</v>
      </c>
      <c r="I160" s="4">
        <v>2025.0</v>
      </c>
      <c r="J160" s="2" t="str">
        <f>VLOOKUP(B160,Raw_Data_Collection!$B$2:$J$215,9,FALSE)</f>
        <v/>
      </c>
      <c r="K160" s="18">
        <f>VLOOKUP(B160,Real_Estate_Stats!$A$2:$G$215,7,FALSE)</f>
        <v>110000000</v>
      </c>
      <c r="L160" s="18">
        <f t="shared" si="1"/>
        <v>1790000000</v>
      </c>
      <c r="M160" s="4">
        <v>0.37</v>
      </c>
      <c r="N160" s="4">
        <v>0.05</v>
      </c>
      <c r="O160" s="29">
        <f t="shared" si="2"/>
        <v>89500000</v>
      </c>
      <c r="P160" s="29">
        <f t="shared" si="3"/>
        <v>142063492.1</v>
      </c>
      <c r="Q160" s="29">
        <f t="shared" si="4"/>
        <v>52563492.06</v>
      </c>
      <c r="R160" s="4">
        <v>0.075</v>
      </c>
      <c r="S160" s="29">
        <f t="shared" si="5"/>
        <v>102925000</v>
      </c>
      <c r="T160" s="29">
        <f t="shared" si="6"/>
        <v>163373015.9</v>
      </c>
      <c r="U160" s="29">
        <f t="shared" si="7"/>
        <v>60448015.87</v>
      </c>
      <c r="V160" s="4"/>
      <c r="W160" s="4"/>
      <c r="X160" s="4" t="s">
        <v>523</v>
      </c>
    </row>
    <row r="161" ht="14.25" customHeight="1">
      <c r="A161" s="2">
        <v>159.0</v>
      </c>
      <c r="B161" s="2" t="s">
        <v>524</v>
      </c>
      <c r="C161" s="2" t="s">
        <v>515</v>
      </c>
      <c r="D161" s="3">
        <v>1.9E9</v>
      </c>
      <c r="E161" s="2" t="s">
        <v>354</v>
      </c>
      <c r="F161" s="4" t="str">
        <f>VLOOKUP(B161,Raw_Data_Collection!$B$2:$F$215,5,FALSE)</f>
        <v>N</v>
      </c>
      <c r="G161" s="3">
        <f>VLOOKUP(B161,Raw_Data_Collection!$B$2:$J$215,6,FALSE)</f>
        <v>177000000</v>
      </c>
      <c r="H161" s="5" t="s">
        <v>525</v>
      </c>
      <c r="I161" s="4">
        <v>2021.0</v>
      </c>
      <c r="J161" s="2" t="str">
        <f>VLOOKUP(B161,Raw_Data_Collection!$B$2:$J$215,9,FALSE)</f>
        <v/>
      </c>
      <c r="K161" s="18">
        <f>VLOOKUP(B161,Real_Estate_Stats!$A$2:$G$215,7,FALSE)</f>
        <v>177000000</v>
      </c>
      <c r="L161" s="18">
        <f t="shared" si="1"/>
        <v>1723000000</v>
      </c>
      <c r="M161" s="4">
        <v>0.37</v>
      </c>
      <c r="N161" s="4">
        <v>0.05</v>
      </c>
      <c r="O161" s="29">
        <f t="shared" si="2"/>
        <v>86150000</v>
      </c>
      <c r="P161" s="29">
        <f t="shared" si="3"/>
        <v>136746031.7</v>
      </c>
      <c r="Q161" s="29">
        <f t="shared" si="4"/>
        <v>50596031.75</v>
      </c>
      <c r="R161" s="4">
        <v>0.075</v>
      </c>
      <c r="S161" s="29">
        <f t="shared" si="5"/>
        <v>99072500</v>
      </c>
      <c r="T161" s="29">
        <f t="shared" si="6"/>
        <v>157257936.5</v>
      </c>
      <c r="U161" s="29">
        <f t="shared" si="7"/>
        <v>58185436.51</v>
      </c>
      <c r="V161" s="4"/>
      <c r="W161" s="4"/>
    </row>
    <row r="162" ht="14.25" customHeight="1">
      <c r="A162" s="2">
        <v>160.0</v>
      </c>
      <c r="B162" s="2" t="s">
        <v>526</v>
      </c>
      <c r="C162" s="2" t="s">
        <v>527</v>
      </c>
      <c r="D162" s="3">
        <v>1.8E9</v>
      </c>
      <c r="E162" s="2" t="s">
        <v>528</v>
      </c>
      <c r="F162" s="4" t="str">
        <f>VLOOKUP(B162,Raw_Data_Collection!$B$2:$F$215,5,FALSE)</f>
        <v>N</v>
      </c>
      <c r="G162" s="3">
        <f>VLOOKUP(B162,Raw_Data_Collection!$B$2:$J$215,6,FALSE)</f>
        <v>60000000</v>
      </c>
      <c r="H162" s="5" t="s">
        <v>529</v>
      </c>
      <c r="I162" s="4">
        <v>2025.0</v>
      </c>
      <c r="J162" s="18">
        <f>VLOOKUP(B162,Raw_Data_Collection!$B$2:$J$215,9,FALSE)</f>
        <v>115000000</v>
      </c>
      <c r="K162" s="18">
        <f>VLOOKUP(B162,Real_Estate_Stats!$A$2:$G$215,7,FALSE)</f>
        <v>60000000</v>
      </c>
      <c r="L162" s="18">
        <f t="shared" si="1"/>
        <v>1740000000</v>
      </c>
      <c r="M162" s="4">
        <v>0.37</v>
      </c>
      <c r="N162" s="4">
        <v>0.05</v>
      </c>
      <c r="O162" s="29">
        <f t="shared" si="2"/>
        <v>87000000</v>
      </c>
      <c r="P162" s="29">
        <f t="shared" si="3"/>
        <v>138095238.1</v>
      </c>
      <c r="Q162" s="29">
        <f t="shared" si="4"/>
        <v>51095238.1</v>
      </c>
      <c r="R162" s="4">
        <v>0.075</v>
      </c>
      <c r="S162" s="29">
        <f t="shared" si="5"/>
        <v>100050000</v>
      </c>
      <c r="T162" s="29">
        <f t="shared" si="6"/>
        <v>158809523.8</v>
      </c>
      <c r="U162" s="29">
        <f t="shared" si="7"/>
        <v>58759523.81</v>
      </c>
      <c r="V162" s="4"/>
      <c r="W162" s="4"/>
      <c r="X162" s="4" t="s">
        <v>728</v>
      </c>
    </row>
    <row r="163" ht="14.25" customHeight="1">
      <c r="A163" s="2">
        <v>161.0</v>
      </c>
      <c r="B163" s="2" t="s">
        <v>532</v>
      </c>
      <c r="C163" s="2" t="s">
        <v>527</v>
      </c>
      <c r="D163" s="3">
        <v>1.8E9</v>
      </c>
      <c r="E163" s="2" t="s">
        <v>47</v>
      </c>
      <c r="F163" s="4" t="str">
        <f>VLOOKUP(B163,Raw_Data_Collection!$B$2:$F$215,5,FALSE)</f>
        <v>N</v>
      </c>
      <c r="G163" s="3" t="str">
        <f>VLOOKUP(B163,Raw_Data_Collection!$B$2:$J$215,6,FALSE)</f>
        <v/>
      </c>
      <c r="H163" s="5" t="s">
        <v>533</v>
      </c>
      <c r="J163" s="18">
        <f>VLOOKUP(B163,Raw_Data_Collection!$B$2:$J$215,9,FALSE)</f>
        <v>29405106</v>
      </c>
      <c r="K163" s="18">
        <f>VLOOKUP(B163,Real_Estate_Stats!$A$2:$G$215,7,FALSE)</f>
        <v>11448642.86</v>
      </c>
      <c r="L163" s="18">
        <f t="shared" si="1"/>
        <v>1788551357</v>
      </c>
      <c r="M163" s="4">
        <v>0.37</v>
      </c>
      <c r="N163" s="4">
        <v>0.05</v>
      </c>
      <c r="O163" s="29">
        <f t="shared" si="2"/>
        <v>89427567.86</v>
      </c>
      <c r="P163" s="29">
        <f t="shared" si="3"/>
        <v>141948520.4</v>
      </c>
      <c r="Q163" s="29">
        <f t="shared" si="4"/>
        <v>52520952.55</v>
      </c>
      <c r="R163" s="4">
        <v>0.075</v>
      </c>
      <c r="S163" s="29">
        <f t="shared" si="5"/>
        <v>102841703</v>
      </c>
      <c r="T163" s="29">
        <f t="shared" si="6"/>
        <v>163240798.5</v>
      </c>
      <c r="U163" s="29">
        <f t="shared" si="7"/>
        <v>60399095.43</v>
      </c>
    </row>
    <row r="164" ht="14.25" customHeight="1">
      <c r="A164" s="2">
        <v>162.0</v>
      </c>
      <c r="B164" s="2" t="s">
        <v>536</v>
      </c>
      <c r="C164" s="2" t="s">
        <v>537</v>
      </c>
      <c r="D164" s="3">
        <v>1.7E9</v>
      </c>
      <c r="E164" s="2" t="s">
        <v>538</v>
      </c>
      <c r="F164" s="4" t="str">
        <f>VLOOKUP(B164,Raw_Data_Collection!$B$2:$F$215,5,FALSE)</f>
        <v>N</v>
      </c>
      <c r="G164" s="3" t="str">
        <f>VLOOKUP(B164,Raw_Data_Collection!$B$2:$J$215,6,FALSE)</f>
        <v/>
      </c>
      <c r="J164" s="2" t="str">
        <f>VLOOKUP(B164,Raw_Data_Collection!$B$2:$J$215,9,FALSE)</f>
        <v/>
      </c>
      <c r="K164" s="18">
        <f>VLOOKUP(B164,Real_Estate_Stats!$A$2:$G$215,7,FALSE)</f>
        <v>10812607.14</v>
      </c>
      <c r="L164" s="18">
        <f t="shared" si="1"/>
        <v>1689187393</v>
      </c>
      <c r="M164" s="4">
        <v>0.37</v>
      </c>
      <c r="N164" s="4">
        <v>0.05</v>
      </c>
      <c r="O164" s="29">
        <f t="shared" si="2"/>
        <v>84459369.64</v>
      </c>
      <c r="P164" s="29">
        <f t="shared" si="3"/>
        <v>134062491.5</v>
      </c>
      <c r="Q164" s="29">
        <f t="shared" si="4"/>
        <v>49603121.85</v>
      </c>
      <c r="R164" s="4">
        <v>0.075</v>
      </c>
      <c r="S164" s="29">
        <f t="shared" si="5"/>
        <v>97128275.09</v>
      </c>
      <c r="T164" s="29">
        <f t="shared" si="6"/>
        <v>154171865.2</v>
      </c>
      <c r="U164" s="29">
        <f t="shared" si="7"/>
        <v>57043590.13</v>
      </c>
    </row>
    <row r="165" ht="14.25" customHeight="1">
      <c r="A165" s="2">
        <v>163.0</v>
      </c>
      <c r="B165" s="2" t="s">
        <v>539</v>
      </c>
      <c r="C165" s="2" t="s">
        <v>537</v>
      </c>
      <c r="D165" s="3">
        <v>1.7E9</v>
      </c>
      <c r="E165" s="2" t="s">
        <v>100</v>
      </c>
      <c r="F165" s="4" t="str">
        <f>VLOOKUP(B165,Raw_Data_Collection!$B$2:$F$215,5,FALSE)</f>
        <v>N</v>
      </c>
      <c r="G165" s="3" t="str">
        <f>VLOOKUP(B165,Raw_Data_Collection!$B$2:$J$215,6,FALSE)</f>
        <v/>
      </c>
      <c r="J165" s="2" t="str">
        <f>VLOOKUP(B165,Raw_Data_Collection!$B$2:$J$215,9,FALSE)</f>
        <v/>
      </c>
      <c r="K165" s="18">
        <f>VLOOKUP(B165,Real_Estate_Stats!$A$2:$G$215,7,FALSE)</f>
        <v>10812607.14</v>
      </c>
      <c r="L165" s="18">
        <f t="shared" si="1"/>
        <v>1689187393</v>
      </c>
      <c r="M165" s="4">
        <v>0.37</v>
      </c>
      <c r="N165" s="4">
        <v>0.05</v>
      </c>
      <c r="O165" s="29">
        <f t="shared" si="2"/>
        <v>84459369.64</v>
      </c>
      <c r="P165" s="29">
        <f t="shared" si="3"/>
        <v>134062491.5</v>
      </c>
      <c r="Q165" s="29">
        <f t="shared" si="4"/>
        <v>49603121.85</v>
      </c>
      <c r="R165" s="4">
        <v>0.075</v>
      </c>
      <c r="S165" s="29">
        <f t="shared" si="5"/>
        <v>97128275.09</v>
      </c>
      <c r="T165" s="29">
        <f t="shared" si="6"/>
        <v>154171865.2</v>
      </c>
      <c r="U165" s="29">
        <f t="shared" si="7"/>
        <v>57043590.13</v>
      </c>
    </row>
    <row r="166" ht="14.25" customHeight="1">
      <c r="A166" s="2">
        <v>164.0</v>
      </c>
      <c r="B166" s="2" t="s">
        <v>540</v>
      </c>
      <c r="C166" s="2" t="s">
        <v>537</v>
      </c>
      <c r="D166" s="3">
        <v>1.7E9</v>
      </c>
      <c r="E166" s="2" t="s">
        <v>47</v>
      </c>
      <c r="F166" s="4" t="str">
        <f>VLOOKUP(B166,Raw_Data_Collection!$B$2:$F$215,5,FALSE)</f>
        <v>N</v>
      </c>
      <c r="G166" s="3">
        <f>VLOOKUP(B166,Raw_Data_Collection!$B$2:$J$215,6,FALSE)</f>
        <v>23900000</v>
      </c>
      <c r="H166" s="5" t="s">
        <v>541</v>
      </c>
      <c r="I166" s="4">
        <v>2026.0</v>
      </c>
      <c r="J166" s="2" t="str">
        <f>VLOOKUP(B166,Raw_Data_Collection!$B$2:$J$215,9,FALSE)</f>
        <v/>
      </c>
      <c r="K166" s="18">
        <f>VLOOKUP(B166,Real_Estate_Stats!$A$2:$G$215,7,FALSE)</f>
        <v>23900000</v>
      </c>
      <c r="L166" s="18">
        <f t="shared" si="1"/>
        <v>1676100000</v>
      </c>
      <c r="M166" s="4">
        <v>0.37</v>
      </c>
      <c r="N166" s="4">
        <v>0.05</v>
      </c>
      <c r="O166" s="29">
        <f t="shared" si="2"/>
        <v>83805000</v>
      </c>
      <c r="P166" s="29">
        <f t="shared" si="3"/>
        <v>133023809.5</v>
      </c>
      <c r="Q166" s="29">
        <f t="shared" si="4"/>
        <v>49218809.52</v>
      </c>
      <c r="R166" s="4">
        <v>0.075</v>
      </c>
      <c r="S166" s="29">
        <f t="shared" si="5"/>
        <v>96375750</v>
      </c>
      <c r="T166" s="29">
        <f t="shared" si="6"/>
        <v>152977381</v>
      </c>
      <c r="U166" s="29">
        <f t="shared" si="7"/>
        <v>56601630.95</v>
      </c>
      <c r="V166" s="4"/>
      <c r="W166" s="4"/>
    </row>
    <row r="167" ht="14.25" customHeight="1">
      <c r="A167" s="2">
        <v>165.0</v>
      </c>
      <c r="B167" s="2" t="s">
        <v>542</v>
      </c>
      <c r="C167" s="2" t="s">
        <v>537</v>
      </c>
      <c r="D167" s="3">
        <v>1.7E9</v>
      </c>
      <c r="E167" s="2" t="s">
        <v>100</v>
      </c>
      <c r="F167" s="4" t="str">
        <f>VLOOKUP(B167,Raw_Data_Collection!$B$2:$F$215,5,FALSE)</f>
        <v>N</v>
      </c>
      <c r="G167" s="3" t="str">
        <f>VLOOKUP(B167,Raw_Data_Collection!$B$2:$J$215,6,FALSE)</f>
        <v/>
      </c>
      <c r="J167" s="2" t="str">
        <f>VLOOKUP(B167,Raw_Data_Collection!$B$2:$J$215,9,FALSE)</f>
        <v/>
      </c>
      <c r="K167" s="18">
        <f>VLOOKUP(B167,Real_Estate_Stats!$A$2:$G$215,7,FALSE)</f>
        <v>10812607.14</v>
      </c>
      <c r="L167" s="18">
        <f t="shared" si="1"/>
        <v>1689187393</v>
      </c>
      <c r="M167" s="4">
        <v>0.37</v>
      </c>
      <c r="N167" s="4">
        <v>0.05</v>
      </c>
      <c r="O167" s="29">
        <f t="shared" si="2"/>
        <v>84459369.64</v>
      </c>
      <c r="P167" s="29">
        <f t="shared" si="3"/>
        <v>134062491.5</v>
      </c>
      <c r="Q167" s="29">
        <f t="shared" si="4"/>
        <v>49603121.85</v>
      </c>
      <c r="R167" s="4">
        <v>0.075</v>
      </c>
      <c r="S167" s="29">
        <f t="shared" si="5"/>
        <v>97128275.09</v>
      </c>
      <c r="T167" s="29">
        <f t="shared" si="6"/>
        <v>154171865.2</v>
      </c>
      <c r="U167" s="29">
        <f t="shared" si="7"/>
        <v>57043590.13</v>
      </c>
    </row>
    <row r="168" ht="14.25" customHeight="1">
      <c r="A168" s="2">
        <v>166.0</v>
      </c>
      <c r="B168" s="2" t="s">
        <v>543</v>
      </c>
      <c r="C168" s="2" t="s">
        <v>537</v>
      </c>
      <c r="D168" s="3">
        <v>1.7E9</v>
      </c>
      <c r="E168" s="2" t="s">
        <v>100</v>
      </c>
      <c r="F168" s="4" t="str">
        <f>VLOOKUP(B168,Raw_Data_Collection!$B$2:$F$215,5,FALSE)</f>
        <v>N</v>
      </c>
      <c r="G168" s="3" t="str">
        <f>VLOOKUP(B168,Raw_Data_Collection!$B$2:$J$215,6,FALSE)</f>
        <v/>
      </c>
      <c r="J168" s="2" t="str">
        <f>VLOOKUP(B168,Raw_Data_Collection!$B$2:$J$215,9,FALSE)</f>
        <v/>
      </c>
      <c r="K168" s="18">
        <f>VLOOKUP(B168,Real_Estate_Stats!$A$2:$G$215,7,FALSE)</f>
        <v>10812607.14</v>
      </c>
      <c r="L168" s="18">
        <f t="shared" si="1"/>
        <v>1689187393</v>
      </c>
      <c r="M168" s="4">
        <v>0.37</v>
      </c>
      <c r="N168" s="4">
        <v>0.05</v>
      </c>
      <c r="O168" s="29">
        <f t="shared" si="2"/>
        <v>84459369.64</v>
      </c>
      <c r="P168" s="29">
        <f t="shared" si="3"/>
        <v>134062491.5</v>
      </c>
      <c r="Q168" s="29">
        <f t="shared" si="4"/>
        <v>49603121.85</v>
      </c>
      <c r="R168" s="4">
        <v>0.075</v>
      </c>
      <c r="S168" s="29">
        <f t="shared" si="5"/>
        <v>97128275.09</v>
      </c>
      <c r="T168" s="29">
        <f t="shared" si="6"/>
        <v>154171865.2</v>
      </c>
      <c r="U168" s="29">
        <f t="shared" si="7"/>
        <v>57043590.13</v>
      </c>
    </row>
    <row r="169" ht="14.25" customHeight="1">
      <c r="A169" s="2">
        <v>167.0</v>
      </c>
      <c r="B169" s="2" t="s">
        <v>544</v>
      </c>
      <c r="C169" s="2" t="s">
        <v>545</v>
      </c>
      <c r="D169" s="3">
        <v>1.6E9</v>
      </c>
      <c r="E169" s="2" t="s">
        <v>546</v>
      </c>
      <c r="F169" s="4" t="str">
        <f>VLOOKUP(B169,Raw_Data_Collection!$B$2:$F$215,5,FALSE)</f>
        <v>N</v>
      </c>
      <c r="G169" s="3" t="str">
        <f>VLOOKUP(B169,Raw_Data_Collection!$B$2:$J$215,6,FALSE)</f>
        <v/>
      </c>
      <c r="J169" s="2" t="str">
        <f>VLOOKUP(B169,Raw_Data_Collection!$B$2:$J$215,9,FALSE)</f>
        <v/>
      </c>
      <c r="K169" s="18">
        <f>VLOOKUP(B169,Real_Estate_Stats!$A$2:$G$215,7,FALSE)</f>
        <v>10176571.43</v>
      </c>
      <c r="L169" s="18">
        <f t="shared" si="1"/>
        <v>1589823429</v>
      </c>
      <c r="M169" s="4">
        <v>0.37</v>
      </c>
      <c r="N169" s="4">
        <v>0.05</v>
      </c>
      <c r="O169" s="29">
        <f t="shared" si="2"/>
        <v>79491171.43</v>
      </c>
      <c r="P169" s="29">
        <f t="shared" si="3"/>
        <v>126176462.6</v>
      </c>
      <c r="Q169" s="29">
        <f t="shared" si="4"/>
        <v>46685291.16</v>
      </c>
      <c r="R169" s="4">
        <v>0.075</v>
      </c>
      <c r="S169" s="29">
        <f t="shared" si="5"/>
        <v>91414847.14</v>
      </c>
      <c r="T169" s="29">
        <f t="shared" si="6"/>
        <v>145102932</v>
      </c>
      <c r="U169" s="29">
        <f t="shared" si="7"/>
        <v>53688084.83</v>
      </c>
    </row>
    <row r="170" ht="14.25" customHeight="1">
      <c r="A170" s="2">
        <v>168.0</v>
      </c>
      <c r="B170" s="2" t="s">
        <v>547</v>
      </c>
      <c r="C170" s="2" t="s">
        <v>545</v>
      </c>
      <c r="D170" s="3">
        <v>1.6E9</v>
      </c>
      <c r="E170" s="2" t="s">
        <v>80</v>
      </c>
      <c r="F170" s="4" t="str">
        <f>VLOOKUP(B170,Raw_Data_Collection!$B$2:$F$215,5,FALSE)</f>
        <v>N</v>
      </c>
      <c r="G170" s="3">
        <f>VLOOKUP(B170,Raw_Data_Collection!$B$2:$J$215,6,FALSE)</f>
        <v>7167000</v>
      </c>
      <c r="J170" s="2" t="str">
        <f>VLOOKUP(B170,Raw_Data_Collection!$B$2:$J$215,9,FALSE)</f>
        <v/>
      </c>
      <c r="K170" s="18">
        <f>VLOOKUP(B170,Real_Estate_Stats!$A$2:$G$215,7,FALSE)</f>
        <v>10176571.43</v>
      </c>
      <c r="L170" s="18">
        <f t="shared" si="1"/>
        <v>1589823429</v>
      </c>
      <c r="M170" s="4">
        <v>0.37</v>
      </c>
      <c r="N170" s="4">
        <v>0.05</v>
      </c>
      <c r="O170" s="29">
        <f t="shared" si="2"/>
        <v>79491171.43</v>
      </c>
      <c r="P170" s="29">
        <f t="shared" si="3"/>
        <v>126176462.6</v>
      </c>
      <c r="Q170" s="29">
        <f t="shared" si="4"/>
        <v>46685291.16</v>
      </c>
      <c r="R170" s="4">
        <v>0.075</v>
      </c>
      <c r="S170" s="29">
        <f t="shared" si="5"/>
        <v>91414847.14</v>
      </c>
      <c r="T170" s="29">
        <f t="shared" si="6"/>
        <v>145102932</v>
      </c>
      <c r="U170" s="29">
        <f t="shared" si="7"/>
        <v>53688084.83</v>
      </c>
    </row>
    <row r="171" ht="14.25" customHeight="1">
      <c r="A171" s="2">
        <v>169.0</v>
      </c>
      <c r="B171" s="2" t="s">
        <v>550</v>
      </c>
      <c r="C171" s="2" t="s">
        <v>545</v>
      </c>
      <c r="D171" s="3">
        <v>1.6E9</v>
      </c>
      <c r="E171" s="2" t="s">
        <v>308</v>
      </c>
      <c r="F171" s="4" t="str">
        <f>VLOOKUP(B171,Raw_Data_Collection!$B$2:$F$215,5,FALSE)</f>
        <v>N</v>
      </c>
      <c r="G171" s="3">
        <f>VLOOKUP(B171,Raw_Data_Collection!$B$2:$J$215,6,FALSE)</f>
        <v>35820000</v>
      </c>
      <c r="H171" s="5" t="s">
        <v>551</v>
      </c>
      <c r="I171" s="4">
        <v>2018.0</v>
      </c>
      <c r="J171" s="2" t="str">
        <f>VLOOKUP(B171,Raw_Data_Collection!$B$2:$J$215,9,FALSE)</f>
        <v/>
      </c>
      <c r="K171" s="18">
        <f>VLOOKUP(B171,Real_Estate_Stats!$A$2:$G$215,7,FALSE)</f>
        <v>35820000</v>
      </c>
      <c r="L171" s="18">
        <f t="shared" si="1"/>
        <v>1564180000</v>
      </c>
      <c r="M171" s="4">
        <v>0.37</v>
      </c>
      <c r="N171" s="4">
        <v>0.05</v>
      </c>
      <c r="O171" s="29">
        <f t="shared" si="2"/>
        <v>78209000</v>
      </c>
      <c r="P171" s="29">
        <f t="shared" si="3"/>
        <v>124141269.8</v>
      </c>
      <c r="Q171" s="29">
        <f t="shared" si="4"/>
        <v>45932269.84</v>
      </c>
      <c r="R171" s="4">
        <v>0.075</v>
      </c>
      <c r="S171" s="29">
        <f t="shared" si="5"/>
        <v>89940350</v>
      </c>
      <c r="T171" s="29">
        <f t="shared" si="6"/>
        <v>142762460.3</v>
      </c>
      <c r="U171" s="29">
        <f t="shared" si="7"/>
        <v>52822110.32</v>
      </c>
      <c r="V171" s="4"/>
      <c r="W171" s="4"/>
      <c r="X171" s="4" t="s">
        <v>552</v>
      </c>
    </row>
    <row r="172" ht="14.25" customHeight="1">
      <c r="A172" s="2">
        <v>170.0</v>
      </c>
      <c r="B172" s="2" t="s">
        <v>553</v>
      </c>
      <c r="C172" s="2" t="s">
        <v>545</v>
      </c>
      <c r="D172" s="3">
        <v>1.6E9</v>
      </c>
      <c r="E172" s="2" t="s">
        <v>440</v>
      </c>
      <c r="F172" s="4" t="str">
        <f>VLOOKUP(B172,Raw_Data_Collection!$B$2:$F$215,5,FALSE)</f>
        <v>N</v>
      </c>
      <c r="G172" s="3" t="str">
        <f>VLOOKUP(B172,Raw_Data_Collection!$B$2:$J$215,6,FALSE)</f>
        <v/>
      </c>
      <c r="J172" s="2" t="str">
        <f>VLOOKUP(B172,Raw_Data_Collection!$B$2:$J$215,9,FALSE)</f>
        <v/>
      </c>
      <c r="K172" s="18">
        <f>VLOOKUP(B172,Real_Estate_Stats!$A$2:$G$215,7,FALSE)</f>
        <v>10176571.43</v>
      </c>
      <c r="L172" s="18">
        <f t="shared" si="1"/>
        <v>1589823429</v>
      </c>
      <c r="M172" s="4">
        <v>0.37</v>
      </c>
      <c r="N172" s="4">
        <v>0.05</v>
      </c>
      <c r="O172" s="29">
        <f t="shared" si="2"/>
        <v>79491171.43</v>
      </c>
      <c r="P172" s="29">
        <f t="shared" si="3"/>
        <v>126176462.6</v>
      </c>
      <c r="Q172" s="29">
        <f t="shared" si="4"/>
        <v>46685291.16</v>
      </c>
      <c r="R172" s="4">
        <v>0.075</v>
      </c>
      <c r="S172" s="29">
        <f t="shared" si="5"/>
        <v>91414847.14</v>
      </c>
      <c r="T172" s="29">
        <f t="shared" si="6"/>
        <v>145102932</v>
      </c>
      <c r="U172" s="29">
        <f t="shared" si="7"/>
        <v>53688084.83</v>
      </c>
    </row>
    <row r="173" ht="14.25" customHeight="1">
      <c r="A173" s="2">
        <v>171.0</v>
      </c>
      <c r="B173" s="2" t="s">
        <v>554</v>
      </c>
      <c r="C173" s="2" t="s">
        <v>545</v>
      </c>
      <c r="D173" s="3">
        <v>1.6E9</v>
      </c>
      <c r="E173" s="2" t="s">
        <v>100</v>
      </c>
      <c r="F173" s="4" t="str">
        <f>VLOOKUP(B173,Raw_Data_Collection!$B$2:$F$215,5,FALSE)</f>
        <v>N</v>
      </c>
      <c r="G173" s="3" t="str">
        <f>VLOOKUP(B173,Raw_Data_Collection!$B$2:$J$215,6,FALSE)</f>
        <v/>
      </c>
      <c r="J173" s="2" t="str">
        <f>VLOOKUP(B173,Raw_Data_Collection!$B$2:$J$215,9,FALSE)</f>
        <v/>
      </c>
      <c r="K173" s="18">
        <f>VLOOKUP(B173,Real_Estate_Stats!$A$2:$G$215,7,FALSE)</f>
        <v>10176571.43</v>
      </c>
      <c r="L173" s="18">
        <f t="shared" si="1"/>
        <v>1589823429</v>
      </c>
      <c r="M173" s="4">
        <v>0.37</v>
      </c>
      <c r="N173" s="4">
        <v>0.05</v>
      </c>
      <c r="O173" s="29">
        <f t="shared" si="2"/>
        <v>79491171.43</v>
      </c>
      <c r="P173" s="29">
        <f t="shared" si="3"/>
        <v>126176462.6</v>
      </c>
      <c r="Q173" s="29">
        <f t="shared" si="4"/>
        <v>46685291.16</v>
      </c>
      <c r="R173" s="4">
        <v>0.075</v>
      </c>
      <c r="S173" s="29">
        <f t="shared" si="5"/>
        <v>91414847.14</v>
      </c>
      <c r="T173" s="29">
        <f t="shared" si="6"/>
        <v>145102932</v>
      </c>
      <c r="U173" s="29">
        <f t="shared" si="7"/>
        <v>53688084.83</v>
      </c>
    </row>
    <row r="174" ht="14.25" customHeight="1">
      <c r="A174" s="2">
        <v>172.0</v>
      </c>
      <c r="B174" s="2" t="s">
        <v>555</v>
      </c>
      <c r="C174" s="2" t="s">
        <v>545</v>
      </c>
      <c r="D174" s="3">
        <v>1.6E9</v>
      </c>
      <c r="E174" s="2" t="s">
        <v>47</v>
      </c>
      <c r="F174" s="4" t="str">
        <f>VLOOKUP(B174,Raw_Data_Collection!$B$2:$F$215,5,FALSE)</f>
        <v>N</v>
      </c>
      <c r="G174" s="3">
        <f>VLOOKUP(B174,Raw_Data_Collection!$B$2:$J$215,6,FALSE)</f>
        <v>15000000</v>
      </c>
      <c r="H174" s="5" t="s">
        <v>556</v>
      </c>
      <c r="I174" s="4">
        <v>2017.0</v>
      </c>
      <c r="J174" s="2" t="str">
        <f>VLOOKUP(B174,Raw_Data_Collection!$B$2:$J$215,9,FALSE)</f>
        <v/>
      </c>
      <c r="K174" s="18">
        <f>VLOOKUP(B174,Real_Estate_Stats!$A$2:$G$215,7,FALSE)</f>
        <v>15000000</v>
      </c>
      <c r="L174" s="18">
        <f t="shared" si="1"/>
        <v>1585000000</v>
      </c>
      <c r="M174" s="4">
        <v>0.37</v>
      </c>
      <c r="N174" s="4">
        <v>0.05</v>
      </c>
      <c r="O174" s="29">
        <f t="shared" si="2"/>
        <v>79250000</v>
      </c>
      <c r="P174" s="29">
        <f t="shared" si="3"/>
        <v>125793650.8</v>
      </c>
      <c r="Q174" s="29">
        <f t="shared" si="4"/>
        <v>46543650.79</v>
      </c>
      <c r="R174" s="4">
        <v>0.075</v>
      </c>
      <c r="S174" s="29">
        <f t="shared" si="5"/>
        <v>91137500</v>
      </c>
      <c r="T174" s="29">
        <f t="shared" si="6"/>
        <v>144662698.4</v>
      </c>
      <c r="U174" s="29">
        <f t="shared" si="7"/>
        <v>53525198.41</v>
      </c>
      <c r="V174" s="4"/>
      <c r="W174" s="4"/>
    </row>
    <row r="175" ht="14.25" customHeight="1">
      <c r="A175" s="2">
        <v>173.0</v>
      </c>
      <c r="B175" s="2" t="s">
        <v>557</v>
      </c>
      <c r="C175" s="2" t="s">
        <v>545</v>
      </c>
      <c r="D175" s="3">
        <v>1.6E9</v>
      </c>
      <c r="E175" s="2" t="s">
        <v>308</v>
      </c>
      <c r="F175" s="4" t="str">
        <f>VLOOKUP(B175,Raw_Data_Collection!$B$2:$F$215,5,FALSE)</f>
        <v>N</v>
      </c>
      <c r="G175" s="3">
        <f>VLOOKUP(B175,Raw_Data_Collection!$B$2:$J$215,6,FALSE)</f>
        <v>8030000</v>
      </c>
      <c r="H175" s="5" t="s">
        <v>558</v>
      </c>
      <c r="I175" s="4">
        <v>2026.0</v>
      </c>
      <c r="J175" s="18">
        <f>VLOOKUP(B175,Raw_Data_Collection!$B$2:$J$215,9,FALSE)</f>
        <v>8030000</v>
      </c>
      <c r="K175" s="18">
        <f>VLOOKUP(B175,Real_Estate_Stats!$A$2:$G$215,7,FALSE)</f>
        <v>8030000</v>
      </c>
      <c r="L175" s="18">
        <f t="shared" si="1"/>
        <v>1591970000</v>
      </c>
      <c r="M175" s="4">
        <v>0.37</v>
      </c>
      <c r="N175" s="4">
        <v>0.05</v>
      </c>
      <c r="O175" s="29">
        <f t="shared" si="2"/>
        <v>79598500</v>
      </c>
      <c r="P175" s="29">
        <f t="shared" si="3"/>
        <v>126346825.4</v>
      </c>
      <c r="Q175" s="29">
        <f t="shared" si="4"/>
        <v>46748325.4</v>
      </c>
      <c r="R175" s="4">
        <v>0.075</v>
      </c>
      <c r="S175" s="29">
        <f t="shared" si="5"/>
        <v>91538275</v>
      </c>
      <c r="T175" s="29">
        <f t="shared" si="6"/>
        <v>145298849.2</v>
      </c>
      <c r="U175" s="29">
        <f t="shared" si="7"/>
        <v>53760574.21</v>
      </c>
      <c r="V175" s="4"/>
      <c r="W175" s="4"/>
    </row>
    <row r="176" ht="14.25" customHeight="1">
      <c r="A176" s="2">
        <v>174.0</v>
      </c>
      <c r="B176" s="2" t="s">
        <v>560</v>
      </c>
      <c r="C176" s="2" t="s">
        <v>545</v>
      </c>
      <c r="D176" s="3">
        <v>1.6E9</v>
      </c>
      <c r="E176" s="2" t="s">
        <v>100</v>
      </c>
      <c r="F176" s="4" t="str">
        <f>VLOOKUP(B176,Raw_Data_Collection!$B$2:$F$215,5,FALSE)</f>
        <v>N</v>
      </c>
      <c r="G176" s="3" t="str">
        <f>VLOOKUP(B176,Raw_Data_Collection!$B$2:$J$215,6,FALSE)</f>
        <v/>
      </c>
      <c r="J176" s="18">
        <f>VLOOKUP(B176,Raw_Data_Collection!$B$2:$J$215,9,FALSE)</f>
        <v>10961462</v>
      </c>
      <c r="K176" s="18">
        <f>VLOOKUP(B176,Real_Estate_Stats!$A$2:$G$215,7,FALSE)</f>
        <v>10961462</v>
      </c>
      <c r="L176" s="18">
        <f t="shared" si="1"/>
        <v>1589038538</v>
      </c>
      <c r="M176" s="4">
        <v>0.37</v>
      </c>
      <c r="N176" s="4">
        <v>0.05</v>
      </c>
      <c r="O176" s="29">
        <f t="shared" si="2"/>
        <v>79451926.9</v>
      </c>
      <c r="P176" s="29">
        <f t="shared" si="3"/>
        <v>126114169.7</v>
      </c>
      <c r="Q176" s="29">
        <f t="shared" si="4"/>
        <v>46662242.78</v>
      </c>
      <c r="R176" s="4">
        <v>0.075</v>
      </c>
      <c r="S176" s="29">
        <f t="shared" si="5"/>
        <v>91369715.94</v>
      </c>
      <c r="T176" s="29">
        <f t="shared" si="6"/>
        <v>145031295.1</v>
      </c>
      <c r="U176" s="29">
        <f t="shared" si="7"/>
        <v>53661579.2</v>
      </c>
    </row>
    <row r="177" ht="14.25" customHeight="1">
      <c r="A177" s="2">
        <v>175.0</v>
      </c>
      <c r="B177" s="2" t="s">
        <v>563</v>
      </c>
      <c r="C177" s="2" t="s">
        <v>545</v>
      </c>
      <c r="D177" s="3">
        <v>1.6E9</v>
      </c>
      <c r="E177" s="2" t="s">
        <v>63</v>
      </c>
      <c r="F177" s="4" t="str">
        <f>VLOOKUP(B177,Raw_Data_Collection!$B$2:$F$215,5,FALSE)</f>
        <v>N</v>
      </c>
      <c r="G177" s="3" t="str">
        <f>VLOOKUP(B177,Raw_Data_Collection!$B$2:$J$215,6,FALSE)</f>
        <v/>
      </c>
      <c r="J177" s="2" t="str">
        <f>VLOOKUP(B177,Raw_Data_Collection!$B$2:$J$215,9,FALSE)</f>
        <v/>
      </c>
      <c r="K177" s="18">
        <f>VLOOKUP(B177,Real_Estate_Stats!$A$2:$G$215,7,FALSE)</f>
        <v>10176571.43</v>
      </c>
      <c r="L177" s="18">
        <f t="shared" si="1"/>
        <v>1589823429</v>
      </c>
      <c r="M177" s="4">
        <v>0.37</v>
      </c>
      <c r="N177" s="4">
        <v>0.05</v>
      </c>
      <c r="O177" s="29">
        <f t="shared" si="2"/>
        <v>79491171.43</v>
      </c>
      <c r="P177" s="29">
        <f t="shared" si="3"/>
        <v>126176462.6</v>
      </c>
      <c r="Q177" s="29">
        <f t="shared" si="4"/>
        <v>46685291.16</v>
      </c>
      <c r="R177" s="4">
        <v>0.075</v>
      </c>
      <c r="S177" s="29">
        <f t="shared" si="5"/>
        <v>91414847.14</v>
      </c>
      <c r="T177" s="29">
        <f t="shared" si="6"/>
        <v>145102932</v>
      </c>
      <c r="U177" s="29">
        <f t="shared" si="7"/>
        <v>53688084.83</v>
      </c>
    </row>
    <row r="178" ht="14.25" customHeight="1">
      <c r="A178" s="2">
        <v>176.0</v>
      </c>
      <c r="B178" s="2" t="s">
        <v>564</v>
      </c>
      <c r="C178" s="2" t="s">
        <v>545</v>
      </c>
      <c r="D178" s="3">
        <v>1.6E9</v>
      </c>
      <c r="E178" s="2" t="s">
        <v>565</v>
      </c>
      <c r="F178" s="4" t="str">
        <f>VLOOKUP(B178,Raw_Data_Collection!$B$2:$F$215,5,FALSE)</f>
        <v>N</v>
      </c>
      <c r="G178" s="3" t="str">
        <f>VLOOKUP(B178,Raw_Data_Collection!$B$2:$J$215,6,FALSE)</f>
        <v/>
      </c>
      <c r="J178" s="2" t="str">
        <f>VLOOKUP(B178,Raw_Data_Collection!$B$2:$J$215,9,FALSE)</f>
        <v/>
      </c>
      <c r="K178" s="18">
        <f>VLOOKUP(B178,Real_Estate_Stats!$A$2:$G$215,7,FALSE)</f>
        <v>10176571.43</v>
      </c>
      <c r="L178" s="18">
        <f t="shared" si="1"/>
        <v>1589823429</v>
      </c>
      <c r="M178" s="4">
        <v>0.37</v>
      </c>
      <c r="N178" s="4">
        <v>0.05</v>
      </c>
      <c r="O178" s="29">
        <f t="shared" si="2"/>
        <v>79491171.43</v>
      </c>
      <c r="P178" s="29">
        <f t="shared" si="3"/>
        <v>126176462.6</v>
      </c>
      <c r="Q178" s="29">
        <f t="shared" si="4"/>
        <v>46685291.16</v>
      </c>
      <c r="R178" s="4">
        <v>0.075</v>
      </c>
      <c r="S178" s="29">
        <f t="shared" si="5"/>
        <v>91414847.14</v>
      </c>
      <c r="T178" s="29">
        <f t="shared" si="6"/>
        <v>145102932</v>
      </c>
      <c r="U178" s="29">
        <f t="shared" si="7"/>
        <v>53688084.83</v>
      </c>
    </row>
    <row r="179" ht="14.25" customHeight="1">
      <c r="A179" s="2">
        <v>177.0</v>
      </c>
      <c r="B179" s="2" t="s">
        <v>566</v>
      </c>
      <c r="C179" s="2" t="s">
        <v>567</v>
      </c>
      <c r="D179" s="3">
        <v>1.5E9</v>
      </c>
      <c r="E179" s="2" t="s">
        <v>100</v>
      </c>
      <c r="F179" s="4" t="str">
        <f>VLOOKUP(B179,Raw_Data_Collection!$B$2:$F$215,5,FALSE)</f>
        <v>N</v>
      </c>
      <c r="G179" s="3">
        <f>VLOOKUP(B179,Raw_Data_Collection!$B$2:$J$215,6,FALSE)</f>
        <v>15398401</v>
      </c>
      <c r="H179" s="5" t="s">
        <v>568</v>
      </c>
      <c r="I179" s="4">
        <v>2026.0</v>
      </c>
      <c r="J179" s="18">
        <f>VLOOKUP(B179,Raw_Data_Collection!$B$2:$J$215,9,FALSE)</f>
        <v>15398401</v>
      </c>
      <c r="K179" s="18">
        <f>VLOOKUP(B179,Real_Estate_Stats!$A$2:$G$215,7,FALSE)</f>
        <v>15398401</v>
      </c>
      <c r="L179" s="18">
        <f t="shared" si="1"/>
        <v>1484601599</v>
      </c>
      <c r="M179" s="4">
        <v>0.37</v>
      </c>
      <c r="N179" s="4">
        <v>0.05</v>
      </c>
      <c r="O179" s="29">
        <f t="shared" si="2"/>
        <v>74230079.95</v>
      </c>
      <c r="P179" s="29">
        <f t="shared" si="3"/>
        <v>117825523.7</v>
      </c>
      <c r="Q179" s="29">
        <f t="shared" si="4"/>
        <v>43595443.78</v>
      </c>
      <c r="R179" s="4">
        <v>0.075</v>
      </c>
      <c r="S179" s="29">
        <f t="shared" si="5"/>
        <v>85364591.94</v>
      </c>
      <c r="T179" s="29">
        <f t="shared" si="6"/>
        <v>135499352.3</v>
      </c>
      <c r="U179" s="29">
        <f t="shared" si="7"/>
        <v>50134760.35</v>
      </c>
      <c r="V179" s="4"/>
      <c r="W179" s="4"/>
      <c r="X179" s="9" t="s">
        <v>729</v>
      </c>
    </row>
    <row r="180" ht="14.25" customHeight="1">
      <c r="A180" s="2">
        <v>178.0</v>
      </c>
      <c r="B180" s="2" t="s">
        <v>570</v>
      </c>
      <c r="C180" s="2" t="s">
        <v>567</v>
      </c>
      <c r="D180" s="3">
        <v>1.5E9</v>
      </c>
      <c r="E180" s="2" t="s">
        <v>80</v>
      </c>
      <c r="F180" s="4" t="str">
        <f>VLOOKUP(B180,Raw_Data_Collection!$B$2:$F$215,5,FALSE)</f>
        <v>N</v>
      </c>
      <c r="G180" s="3">
        <f>VLOOKUP(B180,Raw_Data_Collection!$B$2:$J$215,6,FALSE)</f>
        <v>15713764</v>
      </c>
      <c r="H180" s="5" t="s">
        <v>571</v>
      </c>
      <c r="I180" s="4">
        <v>2026.0</v>
      </c>
      <c r="J180" s="18">
        <f>VLOOKUP(B180,Raw_Data_Collection!$B$2:$J$215,9,FALSE)</f>
        <v>15713764</v>
      </c>
      <c r="K180" s="18">
        <f>VLOOKUP(B180,Real_Estate_Stats!$A$2:$G$215,7,FALSE)</f>
        <v>15713764</v>
      </c>
      <c r="L180" s="18">
        <f t="shared" si="1"/>
        <v>1484286236</v>
      </c>
      <c r="M180" s="4">
        <v>0.37</v>
      </c>
      <c r="N180" s="4">
        <v>0.05</v>
      </c>
      <c r="O180" s="29">
        <f t="shared" si="2"/>
        <v>74214311.8</v>
      </c>
      <c r="P180" s="29">
        <f t="shared" si="3"/>
        <v>117800494.9</v>
      </c>
      <c r="Q180" s="29">
        <f t="shared" si="4"/>
        <v>43586183.12</v>
      </c>
      <c r="R180" s="4">
        <v>0.075</v>
      </c>
      <c r="S180" s="29">
        <f t="shared" si="5"/>
        <v>85346458.57</v>
      </c>
      <c r="T180" s="29">
        <f t="shared" si="6"/>
        <v>135470569.2</v>
      </c>
      <c r="U180" s="29">
        <f t="shared" si="7"/>
        <v>50124110.59</v>
      </c>
      <c r="V180" s="4"/>
      <c r="W180" s="4"/>
      <c r="X180" s="9" t="s">
        <v>730</v>
      </c>
    </row>
    <row r="181" ht="14.25" customHeight="1">
      <c r="A181" s="2">
        <v>179.0</v>
      </c>
      <c r="B181" s="2" t="s">
        <v>573</v>
      </c>
      <c r="C181" s="2" t="s">
        <v>567</v>
      </c>
      <c r="D181" s="3">
        <v>1.5E9</v>
      </c>
      <c r="E181" s="2" t="s">
        <v>47</v>
      </c>
      <c r="F181" s="4" t="str">
        <f>VLOOKUP(B181,Raw_Data_Collection!$B$2:$F$215,5,FALSE)</f>
        <v>N</v>
      </c>
      <c r="G181" s="3" t="str">
        <f>VLOOKUP(B181,Raw_Data_Collection!$B$2:$J$215,6,FALSE)</f>
        <v/>
      </c>
      <c r="J181" s="2" t="str">
        <f>VLOOKUP(B181,Raw_Data_Collection!$B$2:$J$215,9,FALSE)</f>
        <v/>
      </c>
      <c r="K181" s="18">
        <f>VLOOKUP(B181,Real_Estate_Stats!$A$2:$G$215,7,FALSE)</f>
        <v>9540535.714</v>
      </c>
      <c r="L181" s="18">
        <f t="shared" si="1"/>
        <v>1490459464</v>
      </c>
      <c r="M181" s="4">
        <v>0.37</v>
      </c>
      <c r="N181" s="4">
        <v>0.05</v>
      </c>
      <c r="O181" s="29">
        <f t="shared" si="2"/>
        <v>74522973.21</v>
      </c>
      <c r="P181" s="29">
        <f t="shared" si="3"/>
        <v>118290433.7</v>
      </c>
      <c r="Q181" s="29">
        <f t="shared" si="4"/>
        <v>43767460.46</v>
      </c>
      <c r="R181" s="4">
        <v>0.075</v>
      </c>
      <c r="S181" s="29">
        <f t="shared" si="5"/>
        <v>85701419.2</v>
      </c>
      <c r="T181" s="29">
        <f t="shared" si="6"/>
        <v>136033998.7</v>
      </c>
      <c r="U181" s="29">
        <f t="shared" si="7"/>
        <v>50332579.53</v>
      </c>
    </row>
    <row r="182" ht="14.25" customHeight="1">
      <c r="A182" s="2">
        <v>180.0</v>
      </c>
      <c r="B182" s="2" t="s">
        <v>574</v>
      </c>
      <c r="C182" s="2" t="s">
        <v>567</v>
      </c>
      <c r="D182" s="3">
        <v>1.5E9</v>
      </c>
      <c r="E182" s="2" t="s">
        <v>100</v>
      </c>
      <c r="F182" s="4" t="str">
        <f>VLOOKUP(B182,Raw_Data_Collection!$B$2:$F$215,5,FALSE)</f>
        <v>N</v>
      </c>
      <c r="G182" s="3">
        <f>VLOOKUP(B182,Raw_Data_Collection!$B$2:$J$215,6,FALSE)</f>
        <v>6085000</v>
      </c>
      <c r="H182" s="5" t="s">
        <v>575</v>
      </c>
      <c r="I182" s="4">
        <v>2026.0</v>
      </c>
      <c r="J182" s="18">
        <f>VLOOKUP(B182,Raw_Data_Collection!$B$2:$J$215,9,FALSE)</f>
        <v>6016000</v>
      </c>
      <c r="K182" s="18">
        <f>VLOOKUP(B182,Real_Estate_Stats!$A$2:$G$215,7,FALSE)</f>
        <v>6016000</v>
      </c>
      <c r="L182" s="18">
        <f t="shared" si="1"/>
        <v>1493984000</v>
      </c>
      <c r="M182" s="4">
        <v>0.37</v>
      </c>
      <c r="N182" s="4">
        <v>0.05</v>
      </c>
      <c r="O182" s="29">
        <f t="shared" si="2"/>
        <v>74699200</v>
      </c>
      <c r="P182" s="29">
        <f t="shared" si="3"/>
        <v>118570158.7</v>
      </c>
      <c r="Q182" s="29">
        <f t="shared" si="4"/>
        <v>43870958.73</v>
      </c>
      <c r="R182" s="4">
        <v>0.075</v>
      </c>
      <c r="S182" s="29">
        <f t="shared" si="5"/>
        <v>85904080</v>
      </c>
      <c r="T182" s="29">
        <f t="shared" si="6"/>
        <v>136355682.5</v>
      </c>
      <c r="U182" s="29">
        <f t="shared" si="7"/>
        <v>50451602.54</v>
      </c>
      <c r="V182" s="4"/>
      <c r="W182" s="4"/>
      <c r="X182" s="6" t="s">
        <v>731</v>
      </c>
    </row>
    <row r="183" ht="14.25" customHeight="1">
      <c r="A183" s="2">
        <v>181.0</v>
      </c>
      <c r="B183" s="2" t="s">
        <v>577</v>
      </c>
      <c r="C183" s="2" t="s">
        <v>567</v>
      </c>
      <c r="D183" s="3">
        <v>1.5E9</v>
      </c>
      <c r="E183" s="2" t="s">
        <v>100</v>
      </c>
      <c r="F183" s="4" t="str">
        <f>VLOOKUP(B183,Raw_Data_Collection!$B$2:$F$215,5,FALSE)</f>
        <v>N</v>
      </c>
      <c r="G183" s="3" t="str">
        <f>VLOOKUP(B183,Raw_Data_Collection!$B$2:$J$215,6,FALSE)</f>
        <v/>
      </c>
      <c r="J183" s="2" t="str">
        <f>VLOOKUP(B183,Raw_Data_Collection!$B$2:$J$215,9,FALSE)</f>
        <v/>
      </c>
      <c r="K183" s="18">
        <f>VLOOKUP(B183,Real_Estate_Stats!$A$2:$G$215,7,FALSE)</f>
        <v>9540535.714</v>
      </c>
      <c r="L183" s="18">
        <f t="shared" si="1"/>
        <v>1490459464</v>
      </c>
      <c r="M183" s="4">
        <v>0.37</v>
      </c>
      <c r="N183" s="4">
        <v>0.05</v>
      </c>
      <c r="O183" s="29">
        <f t="shared" si="2"/>
        <v>74522973.21</v>
      </c>
      <c r="P183" s="29">
        <f t="shared" si="3"/>
        <v>118290433.7</v>
      </c>
      <c r="Q183" s="29">
        <f t="shared" si="4"/>
        <v>43767460.46</v>
      </c>
      <c r="R183" s="4">
        <v>0.075</v>
      </c>
      <c r="S183" s="29">
        <f t="shared" si="5"/>
        <v>85701419.2</v>
      </c>
      <c r="T183" s="29">
        <f t="shared" si="6"/>
        <v>136033998.7</v>
      </c>
      <c r="U183" s="29">
        <f t="shared" si="7"/>
        <v>50332579.53</v>
      </c>
    </row>
    <row r="184" ht="14.25" customHeight="1">
      <c r="A184" s="2">
        <v>182.0</v>
      </c>
      <c r="B184" s="2" t="s">
        <v>578</v>
      </c>
      <c r="C184" s="2" t="s">
        <v>567</v>
      </c>
      <c r="D184" s="3">
        <v>1.5E9</v>
      </c>
      <c r="E184" s="2" t="s">
        <v>579</v>
      </c>
      <c r="F184" s="4" t="str">
        <f>VLOOKUP(B184,Raw_Data_Collection!$B$2:$F$215,5,FALSE)</f>
        <v>N</v>
      </c>
      <c r="G184" s="3" t="str">
        <f>VLOOKUP(B184,Raw_Data_Collection!$B$2:$J$215,6,FALSE)</f>
        <v/>
      </c>
      <c r="J184" s="2" t="str">
        <f>VLOOKUP(B184,Raw_Data_Collection!$B$2:$J$215,9,FALSE)</f>
        <v/>
      </c>
      <c r="K184" s="18">
        <f>VLOOKUP(B184,Real_Estate_Stats!$A$2:$G$215,7,FALSE)</f>
        <v>9540535.714</v>
      </c>
      <c r="L184" s="18">
        <f t="shared" si="1"/>
        <v>1490459464</v>
      </c>
      <c r="M184" s="4">
        <v>0.37</v>
      </c>
      <c r="N184" s="4">
        <v>0.05</v>
      </c>
      <c r="O184" s="29">
        <f t="shared" si="2"/>
        <v>74522973.21</v>
      </c>
      <c r="P184" s="29">
        <f t="shared" si="3"/>
        <v>118290433.7</v>
      </c>
      <c r="Q184" s="29">
        <f t="shared" si="4"/>
        <v>43767460.46</v>
      </c>
      <c r="R184" s="4">
        <v>0.075</v>
      </c>
      <c r="S184" s="29">
        <f t="shared" si="5"/>
        <v>85701419.2</v>
      </c>
      <c r="T184" s="29">
        <f t="shared" si="6"/>
        <v>136033998.7</v>
      </c>
      <c r="U184" s="29">
        <f t="shared" si="7"/>
        <v>50332579.53</v>
      </c>
    </row>
    <row r="185" ht="14.25" customHeight="1">
      <c r="A185" s="2">
        <v>183.0</v>
      </c>
      <c r="B185" s="2" t="s">
        <v>580</v>
      </c>
      <c r="C185" s="2" t="s">
        <v>567</v>
      </c>
      <c r="D185" s="3">
        <v>1.5E9</v>
      </c>
      <c r="E185" s="2" t="s">
        <v>100</v>
      </c>
      <c r="F185" s="4" t="str">
        <f>VLOOKUP(B185,Raw_Data_Collection!$B$2:$F$215,5,FALSE)</f>
        <v>N</v>
      </c>
      <c r="G185" s="3" t="str">
        <f>VLOOKUP(B185,Raw_Data_Collection!$B$2:$J$215,6,FALSE)</f>
        <v/>
      </c>
      <c r="J185" s="2" t="str">
        <f>VLOOKUP(B185,Raw_Data_Collection!$B$2:$J$215,9,FALSE)</f>
        <v/>
      </c>
      <c r="K185" s="18">
        <f>VLOOKUP(B185,Real_Estate_Stats!$A$2:$G$215,7,FALSE)</f>
        <v>9540535.714</v>
      </c>
      <c r="L185" s="18">
        <f t="shared" si="1"/>
        <v>1490459464</v>
      </c>
      <c r="M185" s="4">
        <v>0.37</v>
      </c>
      <c r="N185" s="4">
        <v>0.05</v>
      </c>
      <c r="O185" s="29">
        <f t="shared" si="2"/>
        <v>74522973.21</v>
      </c>
      <c r="P185" s="29">
        <f t="shared" si="3"/>
        <v>118290433.7</v>
      </c>
      <c r="Q185" s="29">
        <f t="shared" si="4"/>
        <v>43767460.46</v>
      </c>
      <c r="R185" s="4">
        <v>0.075</v>
      </c>
      <c r="S185" s="29">
        <f t="shared" si="5"/>
        <v>85701419.2</v>
      </c>
      <c r="T185" s="29">
        <f t="shared" si="6"/>
        <v>136033998.7</v>
      </c>
      <c r="U185" s="29">
        <f t="shared" si="7"/>
        <v>50332579.53</v>
      </c>
    </row>
    <row r="186" ht="14.25" customHeight="1">
      <c r="A186" s="2">
        <v>184.0</v>
      </c>
      <c r="B186" s="2" t="s">
        <v>581</v>
      </c>
      <c r="C186" s="2" t="s">
        <v>567</v>
      </c>
      <c r="D186" s="3">
        <v>1.5E9</v>
      </c>
      <c r="E186" s="2" t="s">
        <v>218</v>
      </c>
      <c r="F186" s="4" t="str">
        <f>VLOOKUP(B186,Raw_Data_Collection!$B$2:$F$215,5,FALSE)</f>
        <v>N</v>
      </c>
      <c r="G186" s="3">
        <f>VLOOKUP(B186,Raw_Data_Collection!$B$2:$J$215,6,FALSE)</f>
        <v>40000000</v>
      </c>
      <c r="H186" s="5" t="s">
        <v>582</v>
      </c>
      <c r="I186" s="4">
        <v>2024.0</v>
      </c>
      <c r="J186" s="18">
        <f>VLOOKUP(B186,Raw_Data_Collection!$B$2:$J$215,9,FALSE)</f>
        <v>8195833</v>
      </c>
      <c r="K186" s="18">
        <f>VLOOKUP(B186,Real_Estate_Stats!$A$2:$G$215,7,FALSE)</f>
        <v>8195833</v>
      </c>
      <c r="L186" s="18">
        <f t="shared" si="1"/>
        <v>1491804167</v>
      </c>
      <c r="M186" s="4">
        <v>0.37</v>
      </c>
      <c r="N186" s="4">
        <v>0.05</v>
      </c>
      <c r="O186" s="29">
        <f t="shared" si="2"/>
        <v>74590208.35</v>
      </c>
      <c r="P186" s="29">
        <f t="shared" si="3"/>
        <v>118397156.1</v>
      </c>
      <c r="Q186" s="29">
        <f t="shared" si="4"/>
        <v>43806947.76</v>
      </c>
      <c r="R186" s="4">
        <v>0.075</v>
      </c>
      <c r="S186" s="29">
        <f t="shared" si="5"/>
        <v>85778739.6</v>
      </c>
      <c r="T186" s="29">
        <f t="shared" si="6"/>
        <v>136156729.5</v>
      </c>
      <c r="U186" s="29">
        <f t="shared" si="7"/>
        <v>50377989.93</v>
      </c>
      <c r="V186" s="4"/>
      <c r="W186" s="4"/>
    </row>
    <row r="187" ht="14.25" customHeight="1">
      <c r="A187" s="2">
        <v>185.0</v>
      </c>
      <c r="B187" s="2" t="s">
        <v>585</v>
      </c>
      <c r="C187" s="2" t="s">
        <v>567</v>
      </c>
      <c r="D187" s="3">
        <v>1.5E9</v>
      </c>
      <c r="E187" s="2" t="s">
        <v>586</v>
      </c>
      <c r="F187" s="4" t="str">
        <f>VLOOKUP(B187,Raw_Data_Collection!$B$2:$F$215,5,FALSE)</f>
        <v>N</v>
      </c>
      <c r="G187" s="3">
        <f>VLOOKUP(B187,Raw_Data_Collection!$B$2:$J$215,6,FALSE)</f>
        <v>3654299</v>
      </c>
      <c r="J187" s="18">
        <f>VLOOKUP(B187,Raw_Data_Collection!$B$2:$J$215,9,FALSE)</f>
        <v>31118167</v>
      </c>
      <c r="K187" s="18">
        <f>VLOOKUP(B187,Real_Estate_Stats!$A$2:$G$215,7,FALSE)</f>
        <v>9540535.714</v>
      </c>
      <c r="L187" s="18">
        <f t="shared" si="1"/>
        <v>1490459464</v>
      </c>
      <c r="M187" s="4">
        <v>0.37</v>
      </c>
      <c r="N187" s="4">
        <v>0.05</v>
      </c>
      <c r="O187" s="29">
        <f t="shared" si="2"/>
        <v>74522973.21</v>
      </c>
      <c r="P187" s="29">
        <f t="shared" si="3"/>
        <v>118290433.7</v>
      </c>
      <c r="Q187" s="29">
        <f t="shared" si="4"/>
        <v>43767460.46</v>
      </c>
      <c r="R187" s="4">
        <v>0.075</v>
      </c>
      <c r="S187" s="29">
        <f t="shared" si="5"/>
        <v>85701419.2</v>
      </c>
      <c r="T187" s="29">
        <f t="shared" si="6"/>
        <v>136033998.7</v>
      </c>
      <c r="U187" s="29">
        <f t="shared" si="7"/>
        <v>50332579.53</v>
      </c>
    </row>
    <row r="188" ht="14.25" customHeight="1">
      <c r="A188" s="2">
        <v>186.0</v>
      </c>
      <c r="B188" s="2" t="s">
        <v>590</v>
      </c>
      <c r="C188" s="2" t="s">
        <v>591</v>
      </c>
      <c r="D188" s="3">
        <v>1.4E9</v>
      </c>
      <c r="E188" s="2" t="s">
        <v>47</v>
      </c>
      <c r="F188" s="4" t="str">
        <f>VLOOKUP(B188,Raw_Data_Collection!$B$2:$F$215,5,FALSE)</f>
        <v>N</v>
      </c>
      <c r="G188" s="3">
        <f>VLOOKUP(B188,Raw_Data_Collection!$B$2:$J$215,6,FALSE)</f>
        <v>7196000</v>
      </c>
      <c r="H188" s="5" t="s">
        <v>592</v>
      </c>
      <c r="I188" s="4">
        <v>2026.0</v>
      </c>
      <c r="J188" s="18">
        <f>VLOOKUP(B188,Raw_Data_Collection!$B$2:$J$215,9,FALSE)</f>
        <v>19420738</v>
      </c>
      <c r="K188" s="18">
        <f>VLOOKUP(B188,Real_Estate_Stats!$A$2:$G$215,7,FALSE)</f>
        <v>19420738</v>
      </c>
      <c r="L188" s="18">
        <f t="shared" si="1"/>
        <v>1380579262</v>
      </c>
      <c r="M188" s="4">
        <v>0.37</v>
      </c>
      <c r="N188" s="4">
        <v>0.05</v>
      </c>
      <c r="O188" s="29">
        <f t="shared" si="2"/>
        <v>69028963.1</v>
      </c>
      <c r="P188" s="29">
        <f t="shared" si="3"/>
        <v>109569782.7</v>
      </c>
      <c r="Q188" s="29">
        <f t="shared" si="4"/>
        <v>40540819.6</v>
      </c>
      <c r="R188" s="4">
        <v>0.075</v>
      </c>
      <c r="S188" s="29">
        <f t="shared" si="5"/>
        <v>79383307.57</v>
      </c>
      <c r="T188" s="29">
        <f t="shared" si="6"/>
        <v>126005250.1</v>
      </c>
      <c r="U188" s="29">
        <f t="shared" si="7"/>
        <v>46621942.54</v>
      </c>
      <c r="V188" s="4"/>
      <c r="W188" s="4"/>
      <c r="X188" s="6" t="s">
        <v>732</v>
      </c>
    </row>
    <row r="189" ht="14.25" customHeight="1">
      <c r="A189" s="2">
        <v>187.0</v>
      </c>
      <c r="B189" s="2" t="s">
        <v>595</v>
      </c>
      <c r="C189" s="2" t="s">
        <v>591</v>
      </c>
      <c r="D189" s="3">
        <v>1.4E9</v>
      </c>
      <c r="E189" s="2" t="s">
        <v>218</v>
      </c>
      <c r="F189" s="4" t="str">
        <f>VLOOKUP(B189,Raw_Data_Collection!$B$2:$F$215,5,FALSE)</f>
        <v>N</v>
      </c>
      <c r="G189" s="3">
        <f>VLOOKUP(B189,Raw_Data_Collection!$B$2:$J$215,6,FALSE)</f>
        <v>7271292</v>
      </c>
      <c r="J189" s="18">
        <f>VLOOKUP(B189,Raw_Data_Collection!$B$2:$J$215,9,FALSE)</f>
        <v>7271292</v>
      </c>
      <c r="K189" s="18">
        <f>VLOOKUP(B189,Real_Estate_Stats!$A$2:$G$215,7,FALSE)</f>
        <v>7271292</v>
      </c>
      <c r="L189" s="18">
        <f t="shared" si="1"/>
        <v>1392728708</v>
      </c>
      <c r="M189" s="4">
        <v>0.37</v>
      </c>
      <c r="N189" s="4">
        <v>0.05</v>
      </c>
      <c r="O189" s="29">
        <f t="shared" si="2"/>
        <v>69636435.4</v>
      </c>
      <c r="P189" s="29">
        <f t="shared" si="3"/>
        <v>110534024.4</v>
      </c>
      <c r="Q189" s="29">
        <f t="shared" si="4"/>
        <v>40897589.04</v>
      </c>
      <c r="R189" s="4">
        <v>0.075</v>
      </c>
      <c r="S189" s="29">
        <f t="shared" si="5"/>
        <v>80081900.71</v>
      </c>
      <c r="T189" s="29">
        <f t="shared" si="6"/>
        <v>127114128.1</v>
      </c>
      <c r="U189" s="29">
        <f t="shared" si="7"/>
        <v>47032227.4</v>
      </c>
    </row>
    <row r="190" ht="14.25" customHeight="1">
      <c r="A190" s="2">
        <v>188.0</v>
      </c>
      <c r="B190" s="2" t="s">
        <v>598</v>
      </c>
      <c r="C190" s="2" t="s">
        <v>591</v>
      </c>
      <c r="D190" s="3">
        <v>1.4E9</v>
      </c>
      <c r="E190" s="2" t="s">
        <v>100</v>
      </c>
      <c r="F190" s="4" t="str">
        <f>VLOOKUP(B190,Raw_Data_Collection!$B$2:$F$215,5,FALSE)</f>
        <v>N</v>
      </c>
      <c r="G190" s="3">
        <f>VLOOKUP(B190,Raw_Data_Collection!$B$2:$J$215,6,FALSE)</f>
        <v>2850000</v>
      </c>
      <c r="H190" s="5" t="s">
        <v>599</v>
      </c>
      <c r="I190" s="4">
        <v>2005.0</v>
      </c>
      <c r="J190" s="18">
        <f>VLOOKUP(B190,Raw_Data_Collection!$B$2:$J$215,9,FALSE)</f>
        <v>8904500</v>
      </c>
      <c r="K190" s="18">
        <f>VLOOKUP(B190,Real_Estate_Stats!$A$2:$G$215,7,FALSE)</f>
        <v>8904500</v>
      </c>
      <c r="L190" s="18">
        <f t="shared" si="1"/>
        <v>1391095500</v>
      </c>
      <c r="M190" s="4">
        <v>0.37</v>
      </c>
      <c r="N190" s="4">
        <v>0.05</v>
      </c>
      <c r="O190" s="29">
        <f t="shared" si="2"/>
        <v>69554775</v>
      </c>
      <c r="P190" s="29">
        <f t="shared" si="3"/>
        <v>110404404.8</v>
      </c>
      <c r="Q190" s="29">
        <f t="shared" si="4"/>
        <v>40849629.76</v>
      </c>
      <c r="R190" s="4">
        <v>0.075</v>
      </c>
      <c r="S190" s="29">
        <f t="shared" si="5"/>
        <v>79987991.25</v>
      </c>
      <c r="T190" s="29">
        <f t="shared" si="6"/>
        <v>126965065.5</v>
      </c>
      <c r="U190" s="29">
        <f t="shared" si="7"/>
        <v>46977074.23</v>
      </c>
      <c r="V190" s="4"/>
      <c r="W190" s="4"/>
      <c r="X190" s="4" t="s">
        <v>733</v>
      </c>
    </row>
    <row r="191" ht="14.25" customHeight="1">
      <c r="A191" s="2">
        <v>189.0</v>
      </c>
      <c r="B191" s="2" t="s">
        <v>602</v>
      </c>
      <c r="C191" s="2" t="s">
        <v>591</v>
      </c>
      <c r="D191" s="3">
        <v>1.4E9</v>
      </c>
      <c r="E191" s="2" t="s">
        <v>47</v>
      </c>
      <c r="F191" s="4" t="str">
        <f>VLOOKUP(B191,Raw_Data_Collection!$B$2:$F$215,5,FALSE)</f>
        <v>N</v>
      </c>
      <c r="G191" s="3">
        <f>VLOOKUP(B191,Raw_Data_Collection!$B$2:$J$215,6,FALSE)</f>
        <v>29500000</v>
      </c>
      <c r="H191" s="5" t="s">
        <v>603</v>
      </c>
      <c r="I191" s="4">
        <v>2025.0</v>
      </c>
      <c r="J191" s="18">
        <f>VLOOKUP(B191,Raw_Data_Collection!$B$2:$J$215,9,FALSE)</f>
        <v>29500000</v>
      </c>
      <c r="K191" s="18">
        <f>VLOOKUP(B191,Real_Estate_Stats!$A$2:$G$215,7,FALSE)</f>
        <v>29500000</v>
      </c>
      <c r="L191" s="18">
        <f t="shared" si="1"/>
        <v>1370500000</v>
      </c>
      <c r="M191" s="4">
        <v>0.37</v>
      </c>
      <c r="N191" s="4">
        <v>0.05</v>
      </c>
      <c r="O191" s="29">
        <f t="shared" si="2"/>
        <v>68525000</v>
      </c>
      <c r="P191" s="29">
        <f t="shared" si="3"/>
        <v>108769841.3</v>
      </c>
      <c r="Q191" s="29">
        <f t="shared" si="4"/>
        <v>40244841.27</v>
      </c>
      <c r="R191" s="4">
        <v>0.075</v>
      </c>
      <c r="S191" s="29">
        <f t="shared" si="5"/>
        <v>78803750</v>
      </c>
      <c r="T191" s="29">
        <f t="shared" si="6"/>
        <v>125085317.5</v>
      </c>
      <c r="U191" s="29">
        <f t="shared" si="7"/>
        <v>46281567.46</v>
      </c>
      <c r="V191" s="4"/>
      <c r="W191" s="4"/>
    </row>
    <row r="192" ht="14.25" customHeight="1">
      <c r="A192" s="2">
        <v>190.0</v>
      </c>
      <c r="B192" s="2" t="s">
        <v>606</v>
      </c>
      <c r="C192" s="2" t="s">
        <v>591</v>
      </c>
      <c r="D192" s="3">
        <v>1.4E9</v>
      </c>
      <c r="E192" s="2" t="s">
        <v>17</v>
      </c>
      <c r="F192" s="4" t="str">
        <f>VLOOKUP(B192,Raw_Data_Collection!$B$2:$F$215,5,FALSE)</f>
        <v>N</v>
      </c>
      <c r="G192" s="3" t="str">
        <f>VLOOKUP(B192,Raw_Data_Collection!$B$2:$J$215,6,FALSE)</f>
        <v/>
      </c>
      <c r="J192" s="2" t="str">
        <f>VLOOKUP(B192,Raw_Data_Collection!$B$2:$J$215,9,FALSE)</f>
        <v/>
      </c>
      <c r="K192" s="18">
        <f>VLOOKUP(B192,Real_Estate_Stats!$A$2:$G$215,7,FALSE)</f>
        <v>8904500</v>
      </c>
      <c r="L192" s="18">
        <f t="shared" si="1"/>
        <v>1391095500</v>
      </c>
      <c r="M192" s="4">
        <v>0.37</v>
      </c>
      <c r="N192" s="4">
        <v>0.05</v>
      </c>
      <c r="O192" s="29">
        <f t="shared" si="2"/>
        <v>69554775</v>
      </c>
      <c r="P192" s="29">
        <f t="shared" si="3"/>
        <v>110404404.8</v>
      </c>
      <c r="Q192" s="29">
        <f t="shared" si="4"/>
        <v>40849629.76</v>
      </c>
      <c r="R192" s="4">
        <v>0.075</v>
      </c>
      <c r="S192" s="29">
        <f t="shared" si="5"/>
        <v>79987991.25</v>
      </c>
      <c r="T192" s="29">
        <f t="shared" si="6"/>
        <v>126965065.5</v>
      </c>
      <c r="U192" s="29">
        <f t="shared" si="7"/>
        <v>46977074.23</v>
      </c>
    </row>
    <row r="193" ht="14.25" customHeight="1">
      <c r="A193" s="2">
        <v>191.0</v>
      </c>
      <c r="B193" s="4" t="s">
        <v>607</v>
      </c>
      <c r="C193" s="2" t="s">
        <v>591</v>
      </c>
      <c r="D193" s="3">
        <v>1.4E9</v>
      </c>
      <c r="E193" s="2" t="s">
        <v>90</v>
      </c>
      <c r="F193" s="4" t="str">
        <f>VLOOKUP(B193,Raw_Data_Collection!$B$2:$F$215,5,FALSE)</f>
        <v>N</v>
      </c>
      <c r="G193" s="3" t="str">
        <f>VLOOKUP(B193,Raw_Data_Collection!$B$2:$J$215,6,FALSE)</f>
        <v/>
      </c>
      <c r="J193" s="2" t="str">
        <f>VLOOKUP(B193,Raw_Data_Collection!$B$2:$J$215,9,FALSE)</f>
        <v/>
      </c>
      <c r="K193" s="18">
        <f>VLOOKUP(B193,Real_Estate_Stats!$A$2:$G$215,7,FALSE)</f>
        <v>8904500</v>
      </c>
      <c r="L193" s="18">
        <f t="shared" si="1"/>
        <v>1391095500</v>
      </c>
      <c r="M193" s="4">
        <v>0.37</v>
      </c>
      <c r="N193" s="4">
        <v>0.05</v>
      </c>
      <c r="O193" s="29">
        <f t="shared" si="2"/>
        <v>69554775</v>
      </c>
      <c r="P193" s="29">
        <f t="shared" si="3"/>
        <v>110404404.8</v>
      </c>
      <c r="Q193" s="29">
        <f t="shared" si="4"/>
        <v>40849629.76</v>
      </c>
      <c r="R193" s="4">
        <v>0.075</v>
      </c>
      <c r="S193" s="29">
        <f t="shared" si="5"/>
        <v>79987991.25</v>
      </c>
      <c r="T193" s="29">
        <f t="shared" si="6"/>
        <v>126965065.5</v>
      </c>
      <c r="U193" s="29">
        <f t="shared" si="7"/>
        <v>46977074.23</v>
      </c>
    </row>
    <row r="194" ht="14.25" customHeight="1">
      <c r="A194" s="2">
        <v>192.0</v>
      </c>
      <c r="B194" s="2" t="s">
        <v>609</v>
      </c>
      <c r="C194" s="2" t="s">
        <v>610</v>
      </c>
      <c r="D194" s="3">
        <v>1.3E9</v>
      </c>
      <c r="E194" s="2" t="s">
        <v>611</v>
      </c>
      <c r="F194" s="4" t="str">
        <f>VLOOKUP(B194,Raw_Data_Collection!$B$2:$F$215,5,FALSE)</f>
        <v>N</v>
      </c>
      <c r="G194" s="3">
        <f>VLOOKUP(B194,Raw_Data_Collection!$B$2:$J$215,6,FALSE)</f>
        <v>2648000</v>
      </c>
      <c r="H194" s="5" t="s">
        <v>612</v>
      </c>
      <c r="I194" s="4">
        <v>2026.0</v>
      </c>
      <c r="J194" s="2" t="str">
        <f>VLOOKUP(B194,Raw_Data_Collection!$B$2:$J$215,9,FALSE)</f>
        <v/>
      </c>
      <c r="K194" s="18">
        <f>VLOOKUP(B194,Real_Estate_Stats!$A$2:$G$215,7,FALSE)</f>
        <v>2648000</v>
      </c>
      <c r="L194" s="18">
        <f t="shared" si="1"/>
        <v>1297352000</v>
      </c>
      <c r="M194" s="4">
        <v>0.37</v>
      </c>
      <c r="N194" s="4">
        <v>0.05</v>
      </c>
      <c r="O194" s="29">
        <f t="shared" si="2"/>
        <v>64867600</v>
      </c>
      <c r="P194" s="29">
        <f t="shared" si="3"/>
        <v>102964444.4</v>
      </c>
      <c r="Q194" s="29">
        <f t="shared" si="4"/>
        <v>38096844.44</v>
      </c>
      <c r="R194" s="4">
        <v>0.075</v>
      </c>
      <c r="S194" s="29">
        <f t="shared" si="5"/>
        <v>74597740</v>
      </c>
      <c r="T194" s="29">
        <f t="shared" si="6"/>
        <v>118409111.1</v>
      </c>
      <c r="U194" s="29">
        <f t="shared" si="7"/>
        <v>43811371.11</v>
      </c>
      <c r="V194" s="4"/>
      <c r="W194" s="4"/>
      <c r="X194" s="6" t="s">
        <v>734</v>
      </c>
    </row>
    <row r="195" ht="14.25" customHeight="1">
      <c r="A195" s="2">
        <v>193.0</v>
      </c>
      <c r="B195" s="2" t="s">
        <v>614</v>
      </c>
      <c r="C195" s="2" t="s">
        <v>610</v>
      </c>
      <c r="D195" s="3">
        <v>1.3E9</v>
      </c>
      <c r="E195" s="2" t="s">
        <v>268</v>
      </c>
      <c r="F195" s="4" t="str">
        <f>VLOOKUP(B195,Raw_Data_Collection!$B$2:$F$215,5,FALSE)</f>
        <v>N</v>
      </c>
      <c r="G195" s="3" t="str">
        <f>VLOOKUP(B195,Raw_Data_Collection!$B$2:$J$215,6,FALSE)</f>
        <v/>
      </c>
      <c r="J195" s="18">
        <f>VLOOKUP(B195,Raw_Data_Collection!$B$2:$J$215,9,FALSE)</f>
        <v>8089000</v>
      </c>
      <c r="K195" s="18">
        <f>VLOOKUP(B195,Real_Estate_Stats!$A$2:$G$215,7,FALSE)</f>
        <v>8089000</v>
      </c>
      <c r="L195" s="18">
        <f t="shared" si="1"/>
        <v>1291911000</v>
      </c>
      <c r="M195" s="4">
        <v>0.37</v>
      </c>
      <c r="N195" s="4">
        <v>0.05</v>
      </c>
      <c r="O195" s="29">
        <f t="shared" si="2"/>
        <v>64595550</v>
      </c>
      <c r="P195" s="29">
        <f t="shared" si="3"/>
        <v>102532619</v>
      </c>
      <c r="Q195" s="29">
        <f t="shared" si="4"/>
        <v>37937069.05</v>
      </c>
      <c r="R195" s="4">
        <v>0.075</v>
      </c>
      <c r="S195" s="29">
        <f t="shared" si="5"/>
        <v>74284882.5</v>
      </c>
      <c r="T195" s="29">
        <f t="shared" si="6"/>
        <v>117912511.9</v>
      </c>
      <c r="U195" s="29">
        <f t="shared" si="7"/>
        <v>43627629.4</v>
      </c>
    </row>
    <row r="196" ht="14.25" customHeight="1">
      <c r="A196" s="2">
        <v>194.0</v>
      </c>
      <c r="B196" s="2" t="s">
        <v>617</v>
      </c>
      <c r="C196" s="2" t="s">
        <v>610</v>
      </c>
      <c r="D196" s="3">
        <v>1.3E9</v>
      </c>
      <c r="E196" s="2" t="s">
        <v>268</v>
      </c>
      <c r="F196" s="4" t="str">
        <f>VLOOKUP(B196,Raw_Data_Collection!$B$2:$F$215,5,FALSE)</f>
        <v>N</v>
      </c>
      <c r="G196" s="3">
        <f>VLOOKUP(B196,Raw_Data_Collection!$B$2:$J$215,6,FALSE)</f>
        <v>3006000</v>
      </c>
      <c r="H196" s="5" t="s">
        <v>618</v>
      </c>
      <c r="I196" s="4">
        <v>2026.0</v>
      </c>
      <c r="J196" s="18">
        <f>VLOOKUP(B196,Raw_Data_Collection!$B$2:$J$215,9,FALSE)</f>
        <v>14634965</v>
      </c>
      <c r="K196" s="18">
        <f>VLOOKUP(B196,Real_Estate_Stats!$A$2:$G$215,7,FALSE)</f>
        <v>14634965</v>
      </c>
      <c r="L196" s="18">
        <f t="shared" si="1"/>
        <v>1285365035</v>
      </c>
      <c r="M196" s="4">
        <v>0.37</v>
      </c>
      <c r="N196" s="4">
        <v>0.05</v>
      </c>
      <c r="O196" s="29">
        <f t="shared" si="2"/>
        <v>64268251.75</v>
      </c>
      <c r="P196" s="29">
        <f t="shared" si="3"/>
        <v>102013098</v>
      </c>
      <c r="Q196" s="29">
        <f t="shared" si="4"/>
        <v>37744846.27</v>
      </c>
      <c r="R196" s="4">
        <v>0.075</v>
      </c>
      <c r="S196" s="29">
        <f t="shared" si="5"/>
        <v>73908489.51</v>
      </c>
      <c r="T196" s="29">
        <f t="shared" si="6"/>
        <v>117315062.7</v>
      </c>
      <c r="U196" s="29">
        <f t="shared" si="7"/>
        <v>43406573.21</v>
      </c>
      <c r="V196" s="4"/>
      <c r="W196" s="4"/>
      <c r="X196" s="10" t="s">
        <v>735</v>
      </c>
    </row>
    <row r="197" ht="14.25" customHeight="1">
      <c r="A197" s="2">
        <v>195.0</v>
      </c>
      <c r="B197" s="2" t="s">
        <v>621</v>
      </c>
      <c r="C197" s="2" t="s">
        <v>610</v>
      </c>
      <c r="D197" s="3">
        <v>1.3E9</v>
      </c>
      <c r="E197" s="2" t="s">
        <v>238</v>
      </c>
      <c r="F197" s="4" t="str">
        <f>VLOOKUP(B197,Raw_Data_Collection!$B$2:$F$215,5,FALSE)</f>
        <v>N</v>
      </c>
      <c r="G197" s="3" t="str">
        <f>VLOOKUP(B197,Raw_Data_Collection!$B$2:$J$215,6,FALSE)</f>
        <v/>
      </c>
      <c r="J197" s="18">
        <f>VLOOKUP(B197,Raw_Data_Collection!$B$2:$J$215,9,FALSE)</f>
        <v>13000000</v>
      </c>
      <c r="K197" s="18">
        <f>VLOOKUP(B197,Real_Estate_Stats!$A$2:$G$215,7,FALSE)</f>
        <v>13000000</v>
      </c>
      <c r="L197" s="18">
        <f t="shared" si="1"/>
        <v>1287000000</v>
      </c>
      <c r="M197" s="4">
        <v>0.37</v>
      </c>
      <c r="N197" s="4">
        <v>0.05</v>
      </c>
      <c r="O197" s="29">
        <f t="shared" si="2"/>
        <v>64350000</v>
      </c>
      <c r="P197" s="29">
        <f t="shared" si="3"/>
        <v>102142857.1</v>
      </c>
      <c r="Q197" s="29">
        <f t="shared" si="4"/>
        <v>37792857.14</v>
      </c>
      <c r="R197" s="4">
        <v>0.075</v>
      </c>
      <c r="S197" s="29">
        <f t="shared" si="5"/>
        <v>74002500</v>
      </c>
      <c r="T197" s="29">
        <f t="shared" si="6"/>
        <v>117464285.7</v>
      </c>
      <c r="U197" s="29">
        <f t="shared" si="7"/>
        <v>43461785.71</v>
      </c>
    </row>
    <row r="198" ht="14.25" customHeight="1">
      <c r="A198" s="2">
        <v>196.0</v>
      </c>
      <c r="B198" s="2" t="s">
        <v>623</v>
      </c>
      <c r="C198" s="2" t="s">
        <v>610</v>
      </c>
      <c r="D198" s="3">
        <v>1.3E9</v>
      </c>
      <c r="E198" s="2" t="s">
        <v>17</v>
      </c>
      <c r="F198" s="4" t="str">
        <f>VLOOKUP(B198,Raw_Data_Collection!$B$2:$F$215,5,FALSE)</f>
        <v>N</v>
      </c>
      <c r="G198" s="3">
        <f>VLOOKUP(B198,Raw_Data_Collection!$B$2:$J$215,6,FALSE)</f>
        <v>35000000</v>
      </c>
      <c r="H198" s="5" t="s">
        <v>624</v>
      </c>
      <c r="I198" s="4">
        <v>2013.0</v>
      </c>
      <c r="J198" s="2" t="str">
        <f>VLOOKUP(B198,Raw_Data_Collection!$B$2:$J$215,9,FALSE)</f>
        <v/>
      </c>
      <c r="K198" s="18">
        <f>VLOOKUP(B198,Real_Estate_Stats!$A$2:$G$215,7,FALSE)</f>
        <v>35000000</v>
      </c>
      <c r="L198" s="18">
        <f t="shared" si="1"/>
        <v>1265000000</v>
      </c>
      <c r="M198" s="4">
        <v>0.37</v>
      </c>
      <c r="N198" s="4">
        <v>0.05</v>
      </c>
      <c r="O198" s="29">
        <f t="shared" si="2"/>
        <v>63250000</v>
      </c>
      <c r="P198" s="29">
        <f t="shared" si="3"/>
        <v>100396825.4</v>
      </c>
      <c r="Q198" s="29">
        <f t="shared" si="4"/>
        <v>37146825.4</v>
      </c>
      <c r="R198" s="4">
        <v>0.075</v>
      </c>
      <c r="S198" s="29">
        <f t="shared" si="5"/>
        <v>72737500</v>
      </c>
      <c r="T198" s="29">
        <f t="shared" si="6"/>
        <v>115456349.2</v>
      </c>
      <c r="U198" s="29">
        <f t="shared" si="7"/>
        <v>42718849.21</v>
      </c>
      <c r="V198" s="4"/>
      <c r="W198" s="4"/>
    </row>
    <row r="199" ht="14.25" customHeight="1">
      <c r="A199" s="2">
        <v>197.0</v>
      </c>
      <c r="B199" s="2" t="s">
        <v>625</v>
      </c>
      <c r="C199" s="2" t="s">
        <v>610</v>
      </c>
      <c r="D199" s="3">
        <v>1.3E9</v>
      </c>
      <c r="E199" s="2" t="s">
        <v>626</v>
      </c>
      <c r="F199" s="4" t="str">
        <f>VLOOKUP(B199,Raw_Data_Collection!$B$2:$F$215,5,FALSE)</f>
        <v>N</v>
      </c>
      <c r="G199" s="3">
        <f>VLOOKUP(B199,Raw_Data_Collection!$B$2:$J$215,6,FALSE)</f>
        <v>16047864</v>
      </c>
      <c r="J199" s="18">
        <f>VLOOKUP(B199,Raw_Data_Collection!$B$2:$J$215,9,FALSE)</f>
        <v>16047864</v>
      </c>
      <c r="K199" s="18">
        <f>VLOOKUP(B199,Real_Estate_Stats!$A$2:$G$215,7,FALSE)</f>
        <v>8268464.286</v>
      </c>
      <c r="L199" s="18">
        <f t="shared" si="1"/>
        <v>1291731536</v>
      </c>
      <c r="M199" s="4">
        <v>0.37</v>
      </c>
      <c r="N199" s="4">
        <v>0.05</v>
      </c>
      <c r="O199" s="29">
        <f t="shared" si="2"/>
        <v>64586576.79</v>
      </c>
      <c r="P199" s="29">
        <f t="shared" si="3"/>
        <v>102518375.9</v>
      </c>
      <c r="Q199" s="29">
        <f t="shared" si="4"/>
        <v>37931799.06</v>
      </c>
      <c r="R199" s="4">
        <v>0.075</v>
      </c>
      <c r="S199" s="29">
        <f t="shared" si="5"/>
        <v>74274563.3</v>
      </c>
      <c r="T199" s="29">
        <f t="shared" si="6"/>
        <v>117896132.2</v>
      </c>
      <c r="U199" s="29">
        <f t="shared" si="7"/>
        <v>43621568.92</v>
      </c>
    </row>
    <row r="200" ht="14.25" customHeight="1">
      <c r="A200" s="2">
        <v>198.0</v>
      </c>
      <c r="B200" s="2" t="s">
        <v>629</v>
      </c>
      <c r="C200" s="2" t="s">
        <v>610</v>
      </c>
      <c r="D200" s="3">
        <v>1.3E9</v>
      </c>
      <c r="E200" s="2" t="s">
        <v>263</v>
      </c>
      <c r="F200" s="4" t="str">
        <f>VLOOKUP(B200,Raw_Data_Collection!$B$2:$F$215,5,FALSE)</f>
        <v>N</v>
      </c>
      <c r="G200" s="3" t="str">
        <f>VLOOKUP(B200,Raw_Data_Collection!$B$2:$J$215,6,FALSE)</f>
        <v/>
      </c>
      <c r="J200" s="2" t="str">
        <f>VLOOKUP(B200,Raw_Data_Collection!$B$2:$J$215,9,FALSE)</f>
        <v/>
      </c>
      <c r="K200" s="18">
        <f>VLOOKUP(B200,Real_Estate_Stats!$A$2:$G$215,7,FALSE)</f>
        <v>8268464.286</v>
      </c>
      <c r="L200" s="18">
        <f t="shared" si="1"/>
        <v>1291731536</v>
      </c>
      <c r="M200" s="4">
        <v>0.37</v>
      </c>
      <c r="N200" s="4">
        <v>0.05</v>
      </c>
      <c r="O200" s="29">
        <f t="shared" si="2"/>
        <v>64586576.79</v>
      </c>
      <c r="P200" s="29">
        <f t="shared" si="3"/>
        <v>102518375.9</v>
      </c>
      <c r="Q200" s="29">
        <f t="shared" si="4"/>
        <v>37931799.06</v>
      </c>
      <c r="R200" s="4">
        <v>0.075</v>
      </c>
      <c r="S200" s="29">
        <f t="shared" si="5"/>
        <v>74274563.3</v>
      </c>
      <c r="T200" s="29">
        <f t="shared" si="6"/>
        <v>117896132.2</v>
      </c>
      <c r="U200" s="29">
        <f t="shared" si="7"/>
        <v>43621568.92</v>
      </c>
    </row>
    <row r="201" ht="14.25" customHeight="1">
      <c r="A201" s="2">
        <v>199.0</v>
      </c>
      <c r="B201" s="2" t="s">
        <v>630</v>
      </c>
      <c r="C201" s="2" t="s">
        <v>610</v>
      </c>
      <c r="D201" s="3">
        <v>1.3E9</v>
      </c>
      <c r="E201" s="2" t="s">
        <v>17</v>
      </c>
      <c r="F201" s="4" t="str">
        <f>VLOOKUP(B201,Raw_Data_Collection!$B$2:$F$215,5,FALSE)</f>
        <v>N</v>
      </c>
      <c r="G201" s="3" t="str">
        <f>VLOOKUP(B201,Raw_Data_Collection!$B$2:$J$215,6,FALSE)</f>
        <v/>
      </c>
      <c r="J201" s="18">
        <f>VLOOKUP(B201,Raw_Data_Collection!$B$2:$J$215,9,FALSE)</f>
        <v>6797000</v>
      </c>
      <c r="K201" s="18">
        <f>VLOOKUP(B201,Real_Estate_Stats!$A$2:$G$215,7,FALSE)</f>
        <v>6797000</v>
      </c>
      <c r="L201" s="18">
        <f t="shared" si="1"/>
        <v>1293203000</v>
      </c>
      <c r="M201" s="4">
        <v>0.37</v>
      </c>
      <c r="N201" s="4">
        <v>0.05</v>
      </c>
      <c r="O201" s="29">
        <f t="shared" si="2"/>
        <v>64660150</v>
      </c>
      <c r="P201" s="29">
        <f t="shared" si="3"/>
        <v>102635158.7</v>
      </c>
      <c r="Q201" s="29">
        <f t="shared" si="4"/>
        <v>37975008.73</v>
      </c>
      <c r="R201" s="4">
        <v>0.075</v>
      </c>
      <c r="S201" s="29">
        <f t="shared" si="5"/>
        <v>74359172.5</v>
      </c>
      <c r="T201" s="29">
        <f t="shared" si="6"/>
        <v>118030432.5</v>
      </c>
      <c r="U201" s="29">
        <f t="shared" si="7"/>
        <v>43671260.04</v>
      </c>
    </row>
    <row r="202" ht="14.25" customHeight="1">
      <c r="A202" s="2">
        <v>200.0</v>
      </c>
      <c r="B202" s="2" t="s">
        <v>633</v>
      </c>
      <c r="C202" s="2" t="s">
        <v>610</v>
      </c>
      <c r="D202" s="3">
        <v>1.3E9</v>
      </c>
      <c r="E202" s="2" t="s">
        <v>47</v>
      </c>
      <c r="F202" s="4" t="str">
        <f>VLOOKUP(B202,Raw_Data_Collection!$B$2:$F$215,5,FALSE)</f>
        <v>N</v>
      </c>
      <c r="G202" s="3">
        <f>VLOOKUP(B202,Raw_Data_Collection!$B$2:$J$215,6,FALSE)</f>
        <v>37000000</v>
      </c>
      <c r="H202" s="5" t="s">
        <v>634</v>
      </c>
      <c r="I202" s="4">
        <v>2025.0</v>
      </c>
      <c r="J202" s="18">
        <f>VLOOKUP(B202,Raw_Data_Collection!$B$2:$J$215,9,FALSE)</f>
        <v>70000000</v>
      </c>
      <c r="K202" s="18">
        <f>VLOOKUP(B202,Real_Estate_Stats!$A$2:$G$215,7,FALSE)</f>
        <v>70000000</v>
      </c>
      <c r="L202" s="18">
        <f t="shared" si="1"/>
        <v>1230000000</v>
      </c>
      <c r="M202" s="4">
        <v>0.37</v>
      </c>
      <c r="N202" s="4">
        <v>0.05</v>
      </c>
      <c r="O202" s="29">
        <f t="shared" si="2"/>
        <v>61500000</v>
      </c>
      <c r="P202" s="29">
        <f t="shared" si="3"/>
        <v>97619047.62</v>
      </c>
      <c r="Q202" s="29">
        <f t="shared" si="4"/>
        <v>36119047.62</v>
      </c>
      <c r="R202" s="4">
        <v>0.075</v>
      </c>
      <c r="S202" s="29">
        <f t="shared" si="5"/>
        <v>70725000</v>
      </c>
      <c r="T202" s="29">
        <f t="shared" si="6"/>
        <v>112261904.8</v>
      </c>
      <c r="U202" s="29">
        <f t="shared" si="7"/>
        <v>41536904.76</v>
      </c>
      <c r="V202" s="4"/>
      <c r="W202" s="4"/>
    </row>
    <row r="203" ht="14.25" customHeight="1">
      <c r="A203" s="2">
        <v>201.0</v>
      </c>
      <c r="B203" s="2" t="s">
        <v>636</v>
      </c>
      <c r="C203" s="2" t="s">
        <v>610</v>
      </c>
      <c r="D203" s="3">
        <v>1.3E9</v>
      </c>
      <c r="E203" s="2" t="s">
        <v>100</v>
      </c>
      <c r="F203" s="4" t="str">
        <f>VLOOKUP(B203,Raw_Data_Collection!$B$2:$F$215,5,FALSE)</f>
        <v>N</v>
      </c>
      <c r="G203" s="3" t="str">
        <f>VLOOKUP(B203,Raw_Data_Collection!$B$2:$J$215,6,FALSE)</f>
        <v/>
      </c>
      <c r="J203" s="2" t="str">
        <f>VLOOKUP(B203,Raw_Data_Collection!$B$2:$J$215,9,FALSE)</f>
        <v/>
      </c>
      <c r="K203" s="18">
        <f>VLOOKUP(B203,Real_Estate_Stats!$A$2:$G$215,7,FALSE)</f>
        <v>8268464.286</v>
      </c>
      <c r="L203" s="18">
        <f t="shared" si="1"/>
        <v>1291731536</v>
      </c>
      <c r="M203" s="4">
        <v>0.37</v>
      </c>
      <c r="N203" s="4">
        <v>0.05</v>
      </c>
      <c r="O203" s="29">
        <f t="shared" si="2"/>
        <v>64586576.79</v>
      </c>
      <c r="P203" s="29">
        <f t="shared" si="3"/>
        <v>102518375.9</v>
      </c>
      <c r="Q203" s="29">
        <f t="shared" si="4"/>
        <v>37931799.06</v>
      </c>
      <c r="R203" s="4">
        <v>0.075</v>
      </c>
      <c r="S203" s="29">
        <f t="shared" si="5"/>
        <v>74274563.3</v>
      </c>
      <c r="T203" s="29">
        <f t="shared" si="6"/>
        <v>117896132.2</v>
      </c>
      <c r="U203" s="29">
        <f t="shared" si="7"/>
        <v>43621568.92</v>
      </c>
    </row>
    <row r="204" ht="14.25" customHeight="1">
      <c r="A204" s="2">
        <v>202.0</v>
      </c>
      <c r="B204" s="2" t="s">
        <v>637</v>
      </c>
      <c r="C204" s="2" t="s">
        <v>610</v>
      </c>
      <c r="D204" s="3">
        <v>1.3E9</v>
      </c>
      <c r="E204" s="2" t="s">
        <v>100</v>
      </c>
      <c r="F204" s="4" t="str">
        <f>VLOOKUP(B204,Raw_Data_Collection!$B$2:$F$215,5,FALSE)</f>
        <v>N</v>
      </c>
      <c r="G204" s="3" t="str">
        <f>VLOOKUP(B204,Raw_Data_Collection!$B$2:$J$215,6,FALSE)</f>
        <v/>
      </c>
      <c r="J204" s="2" t="str">
        <f>VLOOKUP(B204,Raw_Data_Collection!$B$2:$J$215,9,FALSE)</f>
        <v/>
      </c>
      <c r="K204" s="18">
        <f>VLOOKUP(B204,Real_Estate_Stats!$A$2:$G$215,7,FALSE)</f>
        <v>8268464.286</v>
      </c>
      <c r="L204" s="18">
        <f t="shared" si="1"/>
        <v>1291731536</v>
      </c>
      <c r="M204" s="4">
        <v>0.37</v>
      </c>
      <c r="N204" s="4">
        <v>0.05</v>
      </c>
      <c r="O204" s="29">
        <f t="shared" si="2"/>
        <v>64586576.79</v>
      </c>
      <c r="P204" s="29">
        <f t="shared" si="3"/>
        <v>102518375.9</v>
      </c>
      <c r="Q204" s="29">
        <f t="shared" si="4"/>
        <v>37931799.06</v>
      </c>
      <c r="R204" s="4">
        <v>0.075</v>
      </c>
      <c r="S204" s="29">
        <f t="shared" si="5"/>
        <v>74274563.3</v>
      </c>
      <c r="T204" s="29">
        <f t="shared" si="6"/>
        <v>117896132.2</v>
      </c>
      <c r="U204" s="29">
        <f t="shared" si="7"/>
        <v>43621568.92</v>
      </c>
    </row>
    <row r="205" ht="14.25" customHeight="1">
      <c r="A205" s="2">
        <v>203.0</v>
      </c>
      <c r="B205" s="2" t="s">
        <v>638</v>
      </c>
      <c r="C205" s="2" t="s">
        <v>639</v>
      </c>
      <c r="D205" s="3">
        <v>1.2E9</v>
      </c>
      <c r="E205" s="2" t="s">
        <v>100</v>
      </c>
      <c r="F205" s="4" t="str">
        <f>VLOOKUP(B205,Raw_Data_Collection!$B$2:$F$215,5,FALSE)</f>
        <v>N</v>
      </c>
      <c r="G205" s="3" t="str">
        <f>VLOOKUP(B205,Raw_Data_Collection!$B$2:$J$215,6,FALSE)</f>
        <v/>
      </c>
      <c r="J205" s="2" t="str">
        <f>VLOOKUP(B205,Raw_Data_Collection!$B$2:$J$215,9,FALSE)</f>
        <v/>
      </c>
      <c r="K205" s="18">
        <f>VLOOKUP(B205,Real_Estate_Stats!$A$2:$G$215,7,FALSE)</f>
        <v>7632428.571</v>
      </c>
      <c r="L205" s="18">
        <f t="shared" si="1"/>
        <v>1192367571</v>
      </c>
      <c r="M205" s="4">
        <v>0.37</v>
      </c>
      <c r="N205" s="4">
        <v>0.05</v>
      </c>
      <c r="O205" s="29">
        <f t="shared" si="2"/>
        <v>59618378.57</v>
      </c>
      <c r="P205" s="29">
        <f t="shared" si="3"/>
        <v>94632346.94</v>
      </c>
      <c r="Q205" s="29">
        <f t="shared" si="4"/>
        <v>35013968.37</v>
      </c>
      <c r="R205" s="4">
        <v>0.075</v>
      </c>
      <c r="S205" s="29">
        <f t="shared" si="5"/>
        <v>68561135.36</v>
      </c>
      <c r="T205" s="29">
        <f t="shared" si="6"/>
        <v>108827199</v>
      </c>
      <c r="U205" s="29">
        <f t="shared" si="7"/>
        <v>40266063.62</v>
      </c>
    </row>
    <row r="206" ht="14.25" customHeight="1">
      <c r="A206" s="2">
        <v>204.0</v>
      </c>
      <c r="B206" s="2" t="s">
        <v>640</v>
      </c>
      <c r="C206" s="2" t="s">
        <v>639</v>
      </c>
      <c r="D206" s="3">
        <v>1.2E9</v>
      </c>
      <c r="E206" s="2" t="s">
        <v>100</v>
      </c>
      <c r="F206" s="4" t="str">
        <f>VLOOKUP(B206,Raw_Data_Collection!$B$2:$F$215,5,FALSE)</f>
        <v>N</v>
      </c>
      <c r="G206" s="3" t="str">
        <f>VLOOKUP(B206,Raw_Data_Collection!$B$2:$J$215,6,FALSE)</f>
        <v/>
      </c>
      <c r="J206" s="2" t="str">
        <f>VLOOKUP(B206,Raw_Data_Collection!$B$2:$J$215,9,FALSE)</f>
        <v/>
      </c>
      <c r="K206" s="18">
        <f>VLOOKUP(B206,Real_Estate_Stats!$A$2:$G$215,7,FALSE)</f>
        <v>7632428.571</v>
      </c>
      <c r="L206" s="18">
        <f t="shared" si="1"/>
        <v>1192367571</v>
      </c>
      <c r="M206" s="4">
        <v>0.37</v>
      </c>
      <c r="N206" s="4">
        <v>0.05</v>
      </c>
      <c r="O206" s="29">
        <f t="shared" si="2"/>
        <v>59618378.57</v>
      </c>
      <c r="P206" s="29">
        <f t="shared" si="3"/>
        <v>94632346.94</v>
      </c>
      <c r="Q206" s="29">
        <f t="shared" si="4"/>
        <v>35013968.37</v>
      </c>
      <c r="R206" s="4">
        <v>0.075</v>
      </c>
      <c r="S206" s="29">
        <f t="shared" si="5"/>
        <v>68561135.36</v>
      </c>
      <c r="T206" s="29">
        <f t="shared" si="6"/>
        <v>108827199</v>
      </c>
      <c r="U206" s="29">
        <f t="shared" si="7"/>
        <v>40266063.62</v>
      </c>
    </row>
    <row r="207" ht="14.25" customHeight="1">
      <c r="A207" s="2">
        <v>205.0</v>
      </c>
      <c r="B207" s="2" t="s">
        <v>641</v>
      </c>
      <c r="C207" s="2" t="s">
        <v>639</v>
      </c>
      <c r="D207" s="3">
        <v>1.2E9</v>
      </c>
      <c r="E207" s="2" t="s">
        <v>47</v>
      </c>
      <c r="F207" s="4" t="str">
        <f>VLOOKUP(B207,Raw_Data_Collection!$B$2:$F$215,5,FALSE)</f>
        <v>N</v>
      </c>
      <c r="G207" s="3">
        <f>VLOOKUP(B207,Raw_Data_Collection!$B$2:$J$215,6,FALSE)</f>
        <v>5413302</v>
      </c>
      <c r="J207" s="18">
        <f>VLOOKUP(B207,Raw_Data_Collection!$B$2:$J$215,9,FALSE)</f>
        <v>21637069</v>
      </c>
      <c r="K207" s="18">
        <f>VLOOKUP(B207,Real_Estate_Stats!$A$2:$G$215,7,FALSE)</f>
        <v>5413302</v>
      </c>
      <c r="L207" s="18">
        <f t="shared" si="1"/>
        <v>1194586698</v>
      </c>
      <c r="M207" s="4">
        <v>0.37</v>
      </c>
      <c r="N207" s="4">
        <v>0.05</v>
      </c>
      <c r="O207" s="29">
        <f t="shared" si="2"/>
        <v>59729334.9</v>
      </c>
      <c r="P207" s="29">
        <f t="shared" si="3"/>
        <v>94808468.1</v>
      </c>
      <c r="Q207" s="29">
        <f t="shared" si="4"/>
        <v>35079133.2</v>
      </c>
      <c r="R207" s="4">
        <v>0.075</v>
      </c>
      <c r="S207" s="29">
        <f t="shared" si="5"/>
        <v>68688735.14</v>
      </c>
      <c r="T207" s="29">
        <f t="shared" si="6"/>
        <v>109029738.3</v>
      </c>
      <c r="U207" s="29">
        <f t="shared" si="7"/>
        <v>40341003.17</v>
      </c>
    </row>
    <row r="208" ht="14.25" customHeight="1">
      <c r="A208" s="2">
        <v>206.0</v>
      </c>
      <c r="B208" s="2" t="s">
        <v>645</v>
      </c>
      <c r="C208" s="2" t="s">
        <v>639</v>
      </c>
      <c r="D208" s="3">
        <v>1.2E9</v>
      </c>
      <c r="E208" s="2" t="s">
        <v>191</v>
      </c>
      <c r="F208" s="4" t="str">
        <f>VLOOKUP(B208,Raw_Data_Collection!$B$2:$F$215,5,FALSE)</f>
        <v>N</v>
      </c>
      <c r="G208" s="3" t="str">
        <f>VLOOKUP(B208,Raw_Data_Collection!$B$2:$J$215,6,FALSE)</f>
        <v/>
      </c>
      <c r="J208" s="18">
        <f>VLOOKUP(B208,Raw_Data_Collection!$B$2:$J$215,9,FALSE)</f>
        <v>43371212</v>
      </c>
      <c r="K208" s="18">
        <f>VLOOKUP(B208,Real_Estate_Stats!$A$2:$G$215,7,FALSE)</f>
        <v>27995000</v>
      </c>
      <c r="L208" s="18">
        <f t="shared" si="1"/>
        <v>1172005000</v>
      </c>
      <c r="M208" s="4">
        <v>0.37</v>
      </c>
      <c r="N208" s="4">
        <v>0.05</v>
      </c>
      <c r="O208" s="29">
        <f t="shared" si="2"/>
        <v>58600250</v>
      </c>
      <c r="P208" s="29">
        <f t="shared" si="3"/>
        <v>93016269.84</v>
      </c>
      <c r="Q208" s="29">
        <f t="shared" si="4"/>
        <v>34416019.84</v>
      </c>
      <c r="R208" s="4">
        <v>0.075</v>
      </c>
      <c r="S208" s="29">
        <f t="shared" si="5"/>
        <v>67390287.5</v>
      </c>
      <c r="T208" s="29">
        <f t="shared" si="6"/>
        <v>106968710.3</v>
      </c>
      <c r="U208" s="29">
        <f t="shared" si="7"/>
        <v>39578422.82</v>
      </c>
      <c r="V208" s="4">
        <v>2020.0</v>
      </c>
      <c r="W208" s="5" t="s">
        <v>736</v>
      </c>
    </row>
    <row r="209" ht="14.25" customHeight="1">
      <c r="A209" s="2">
        <v>207.0</v>
      </c>
      <c r="B209" s="4" t="s">
        <v>648</v>
      </c>
      <c r="C209" s="2" t="s">
        <v>649</v>
      </c>
      <c r="D209" s="3">
        <v>1.1E9</v>
      </c>
      <c r="E209" s="2" t="s">
        <v>47</v>
      </c>
      <c r="F209" s="4" t="str">
        <f>VLOOKUP(B209,Raw_Data_Collection!$B$2:$F$215,5,FALSE)</f>
        <v>N</v>
      </c>
      <c r="G209" s="3">
        <f>VLOOKUP(B209,Raw_Data_Collection!$B$2:$J$215,6,FALSE)</f>
        <v>5299000</v>
      </c>
      <c r="J209" s="30">
        <f>VLOOKUP(B209,Raw_Data_Collection!$B$2:$J$215,9,FALSE)</f>
        <v>10887000</v>
      </c>
      <c r="K209" s="18">
        <f>VLOOKUP(B209,Real_Estate_Stats!$A$2:$G$215,7,FALSE)</f>
        <v>10887000</v>
      </c>
      <c r="L209" s="18">
        <f t="shared" si="1"/>
        <v>1089113000</v>
      </c>
      <c r="M209" s="4">
        <v>0.37</v>
      </c>
      <c r="N209" s="4">
        <v>0.05</v>
      </c>
      <c r="O209" s="29">
        <f t="shared" si="2"/>
        <v>54455650</v>
      </c>
      <c r="P209" s="29">
        <f t="shared" si="3"/>
        <v>86437539.68</v>
      </c>
      <c r="Q209" s="29">
        <f t="shared" si="4"/>
        <v>31981889.68</v>
      </c>
      <c r="R209" s="4">
        <v>0.075</v>
      </c>
      <c r="S209" s="29">
        <f t="shared" si="5"/>
        <v>62623997.5</v>
      </c>
      <c r="T209" s="29">
        <f t="shared" si="6"/>
        <v>99403170.63</v>
      </c>
      <c r="U209" s="29">
        <f t="shared" si="7"/>
        <v>36779173.13</v>
      </c>
      <c r="W209" s="5" t="s">
        <v>737</v>
      </c>
      <c r="X209" s="7" t="s">
        <v>738</v>
      </c>
    </row>
    <row r="210" ht="14.25" customHeight="1">
      <c r="A210" s="2">
        <v>208.0</v>
      </c>
      <c r="B210" s="2" t="s">
        <v>652</v>
      </c>
      <c r="C210" s="2" t="s">
        <v>649</v>
      </c>
      <c r="D210" s="3">
        <v>1.1E9</v>
      </c>
      <c r="E210" s="2" t="s">
        <v>17</v>
      </c>
      <c r="F210" s="4" t="str">
        <f>VLOOKUP(B210,Raw_Data_Collection!$B$2:$F$215,5,FALSE)</f>
        <v>N</v>
      </c>
      <c r="G210" s="3">
        <f>VLOOKUP(B210,Raw_Data_Collection!$B$2:$J$215,6,FALSE)</f>
        <v>13122419</v>
      </c>
      <c r="H210" s="5" t="s">
        <v>653</v>
      </c>
      <c r="I210" s="4">
        <v>2026.0</v>
      </c>
      <c r="J210" s="2" t="str">
        <f>VLOOKUP(B210,Raw_Data_Collection!$B$2:$J$215,9,FALSE)</f>
        <v/>
      </c>
      <c r="K210" s="18">
        <f>VLOOKUP(B210,Real_Estate_Stats!$A$2:$G$215,7,FALSE)</f>
        <v>13122419</v>
      </c>
      <c r="L210" s="18">
        <f t="shared" si="1"/>
        <v>1086877581</v>
      </c>
      <c r="M210" s="4">
        <v>0.37</v>
      </c>
      <c r="N210" s="4">
        <v>0.05</v>
      </c>
      <c r="O210" s="29">
        <f t="shared" si="2"/>
        <v>54343879.05</v>
      </c>
      <c r="P210" s="29">
        <f t="shared" si="3"/>
        <v>86260125.48</v>
      </c>
      <c r="Q210" s="29">
        <f t="shared" si="4"/>
        <v>31916246.43</v>
      </c>
      <c r="R210" s="4">
        <v>0.075</v>
      </c>
      <c r="S210" s="29">
        <f t="shared" si="5"/>
        <v>62495460.91</v>
      </c>
      <c r="T210" s="29">
        <f t="shared" si="6"/>
        <v>99199144.3</v>
      </c>
      <c r="U210" s="29">
        <f t="shared" si="7"/>
        <v>36703683.39</v>
      </c>
      <c r="V210" s="4"/>
      <c r="W210" s="4"/>
      <c r="X210" s="6" t="s">
        <v>739</v>
      </c>
    </row>
    <row r="211" ht="14.25" customHeight="1">
      <c r="A211" s="2">
        <v>209.0</v>
      </c>
      <c r="B211" s="15" t="s">
        <v>655</v>
      </c>
      <c r="C211" s="2" t="s">
        <v>649</v>
      </c>
      <c r="D211" s="3">
        <v>1.1E9</v>
      </c>
      <c r="E211" s="2" t="s">
        <v>63</v>
      </c>
      <c r="F211" s="4" t="str">
        <f>VLOOKUP(B211,Raw_Data_Collection!$B$2:$F$215,5,FALSE)</f>
        <v>N</v>
      </c>
      <c r="G211" s="3" t="str">
        <f>VLOOKUP(B211,Raw_Data_Collection!$B$2:$J$215,6,FALSE)</f>
        <v/>
      </c>
      <c r="J211" s="2" t="str">
        <f>VLOOKUP(B211,Raw_Data_Collection!$B$2:$J$215,9,FALSE)</f>
        <v/>
      </c>
      <c r="K211" s="18">
        <f>VLOOKUP(B211,Real_Estate_Stats!$A$2:$G$215,7,FALSE)</f>
        <v>6996392.857</v>
      </c>
      <c r="L211" s="18">
        <f t="shared" si="1"/>
        <v>1093003607</v>
      </c>
      <c r="M211" s="4">
        <v>0.37</v>
      </c>
      <c r="N211" s="4">
        <v>0.05</v>
      </c>
      <c r="O211" s="29">
        <f t="shared" si="2"/>
        <v>54650180.36</v>
      </c>
      <c r="P211" s="29">
        <f t="shared" si="3"/>
        <v>86746318.03</v>
      </c>
      <c r="Q211" s="29">
        <f t="shared" si="4"/>
        <v>32096137.67</v>
      </c>
      <c r="R211" s="4">
        <v>0.075</v>
      </c>
      <c r="S211" s="29">
        <f t="shared" si="5"/>
        <v>62847707.41</v>
      </c>
      <c r="T211" s="29">
        <f t="shared" si="6"/>
        <v>99758265.73</v>
      </c>
      <c r="U211" s="29">
        <f t="shared" si="7"/>
        <v>36910558.32</v>
      </c>
    </row>
    <row r="212" ht="14.25" customHeight="1">
      <c r="A212" s="2">
        <v>210.0</v>
      </c>
      <c r="B212" s="15" t="s">
        <v>656</v>
      </c>
      <c r="C212" s="2" t="s">
        <v>649</v>
      </c>
      <c r="D212" s="3">
        <v>1.1E9</v>
      </c>
      <c r="E212" s="2" t="s">
        <v>100</v>
      </c>
      <c r="F212" s="4" t="str">
        <f>VLOOKUP(B212,Raw_Data_Collection!$B$2:$F$215,5,FALSE)</f>
        <v>N</v>
      </c>
      <c r="G212" s="3" t="str">
        <f>VLOOKUP(B212,Raw_Data_Collection!$B$2:$J$215,6,FALSE)</f>
        <v/>
      </c>
      <c r="J212" s="2" t="str">
        <f>VLOOKUP(B212,Raw_Data_Collection!$B$2:$J$215,9,FALSE)</f>
        <v/>
      </c>
      <c r="K212" s="18">
        <f>VLOOKUP(B212,Real_Estate_Stats!$A$2:$G$215,7,FALSE)</f>
        <v>6996392.857</v>
      </c>
      <c r="L212" s="18">
        <f t="shared" si="1"/>
        <v>1093003607</v>
      </c>
      <c r="M212" s="4">
        <v>0.37</v>
      </c>
      <c r="N212" s="4">
        <v>0.05</v>
      </c>
      <c r="O212" s="29">
        <f t="shared" si="2"/>
        <v>54650180.36</v>
      </c>
      <c r="P212" s="29">
        <f t="shared" si="3"/>
        <v>86746318.03</v>
      </c>
      <c r="Q212" s="29">
        <f t="shared" si="4"/>
        <v>32096137.67</v>
      </c>
      <c r="R212" s="4">
        <v>0.075</v>
      </c>
      <c r="S212" s="29">
        <f t="shared" si="5"/>
        <v>62847707.41</v>
      </c>
      <c r="T212" s="29">
        <f t="shared" si="6"/>
        <v>99758265.73</v>
      </c>
      <c r="U212" s="29">
        <f t="shared" si="7"/>
        <v>36910558.32</v>
      </c>
    </row>
    <row r="213" ht="14.25" customHeight="1">
      <c r="A213" s="2">
        <v>211.0</v>
      </c>
      <c r="B213" s="2" t="s">
        <v>657</v>
      </c>
      <c r="C213" s="2" t="s">
        <v>649</v>
      </c>
      <c r="D213" s="3">
        <v>1.1E9</v>
      </c>
      <c r="E213" s="2" t="s">
        <v>87</v>
      </c>
      <c r="F213" s="4" t="str">
        <f>VLOOKUP(B213,Raw_Data_Collection!$B$2:$F$215,5,FALSE)</f>
        <v>N</v>
      </c>
      <c r="G213" s="3">
        <f>VLOOKUP(B213,Raw_Data_Collection!$B$2:$J$215,6,FALSE)</f>
        <v>28090701</v>
      </c>
      <c r="H213" s="5" t="s">
        <v>658</v>
      </c>
      <c r="I213" s="4">
        <v>2026.0</v>
      </c>
      <c r="J213" s="2" t="str">
        <f>VLOOKUP(B213,Raw_Data_Collection!$B$2:$J$215,9,FALSE)</f>
        <v/>
      </c>
      <c r="K213" s="18">
        <f>VLOOKUP(B213,Real_Estate_Stats!$A$2:$G$215,7,FALSE)</f>
        <v>28090701</v>
      </c>
      <c r="L213" s="18">
        <f t="shared" si="1"/>
        <v>1071909299</v>
      </c>
      <c r="M213" s="4">
        <v>0.37</v>
      </c>
      <c r="N213" s="4">
        <v>0.05</v>
      </c>
      <c r="O213" s="29">
        <f t="shared" si="2"/>
        <v>53595464.95</v>
      </c>
      <c r="P213" s="29">
        <f t="shared" si="3"/>
        <v>85072166.59</v>
      </c>
      <c r="Q213" s="29">
        <f t="shared" si="4"/>
        <v>31476701.64</v>
      </c>
      <c r="R213" s="4">
        <v>0.075</v>
      </c>
      <c r="S213" s="29">
        <f t="shared" si="5"/>
        <v>61634784.69</v>
      </c>
      <c r="T213" s="29">
        <f t="shared" si="6"/>
        <v>97832991.58</v>
      </c>
      <c r="U213" s="29">
        <f t="shared" si="7"/>
        <v>36198206.88</v>
      </c>
      <c r="V213" s="4"/>
      <c r="W213" s="12" t="s">
        <v>659</v>
      </c>
      <c r="X213" s="12" t="s">
        <v>660</v>
      </c>
    </row>
    <row r="214" ht="14.25" customHeight="1">
      <c r="A214" s="2">
        <v>212.0</v>
      </c>
      <c r="B214" s="15" t="s">
        <v>661</v>
      </c>
      <c r="C214" s="2" t="s">
        <v>662</v>
      </c>
      <c r="D214" s="3">
        <v>1.0E9</v>
      </c>
      <c r="E214" s="2" t="s">
        <v>100</v>
      </c>
      <c r="F214" s="4" t="str">
        <f>VLOOKUP(B214,Raw_Data_Collection!$B$2:$F$215,5,FALSE)</f>
        <v>N</v>
      </c>
      <c r="G214" s="3" t="str">
        <f>VLOOKUP(B214,Raw_Data_Collection!$B$2:$J$215,6,FALSE)</f>
        <v/>
      </c>
      <c r="J214" s="2" t="str">
        <f>VLOOKUP(B214,Raw_Data_Collection!$B$2:$J$215,9,FALSE)</f>
        <v/>
      </c>
      <c r="K214" s="18">
        <f>VLOOKUP(B214,Real_Estate_Stats!$A$2:$G$215,7,FALSE)</f>
        <v>6360357.143</v>
      </c>
      <c r="L214" s="18">
        <f t="shared" si="1"/>
        <v>993639642.9</v>
      </c>
      <c r="M214" s="4">
        <v>0.37</v>
      </c>
      <c r="N214" s="4">
        <v>0.05</v>
      </c>
      <c r="O214" s="29">
        <f t="shared" si="2"/>
        <v>49681982.14</v>
      </c>
      <c r="P214" s="29">
        <f t="shared" si="3"/>
        <v>78860289.12</v>
      </c>
      <c r="Q214" s="29">
        <f t="shared" si="4"/>
        <v>29178306.97</v>
      </c>
      <c r="R214" s="4">
        <v>0.075</v>
      </c>
      <c r="S214" s="29">
        <f t="shared" si="5"/>
        <v>57134279.46</v>
      </c>
      <c r="T214" s="29">
        <f t="shared" si="6"/>
        <v>90689332.48</v>
      </c>
      <c r="U214" s="29">
        <f t="shared" si="7"/>
        <v>33555053.02</v>
      </c>
    </row>
    <row r="215" ht="14.25" customHeight="1">
      <c r="A215" s="2">
        <v>213.0</v>
      </c>
      <c r="B215" s="2" t="s">
        <v>663</v>
      </c>
      <c r="C215" s="2" t="s">
        <v>662</v>
      </c>
      <c r="D215" s="3">
        <v>1.0E9</v>
      </c>
      <c r="E215" s="2" t="s">
        <v>100</v>
      </c>
      <c r="F215" s="4" t="str">
        <f>VLOOKUP(B215,Raw_Data_Collection!$B$2:$F$215,5,FALSE)</f>
        <v>N</v>
      </c>
      <c r="G215" s="3" t="str">
        <f>VLOOKUP(B215,Raw_Data_Collection!$B$2:$J$215,6,FALSE)</f>
        <v/>
      </c>
      <c r="J215" s="2" t="str">
        <f>VLOOKUP(B215,Raw_Data_Collection!$B$2:$J$215,9,FALSE)</f>
        <v/>
      </c>
      <c r="K215" s="18">
        <f>VLOOKUP(B215,Real_Estate_Stats!$A$2:$G$215,7,FALSE)</f>
        <v>6360357.143</v>
      </c>
      <c r="L215" s="18">
        <f t="shared" si="1"/>
        <v>993639642.9</v>
      </c>
      <c r="M215" s="4">
        <v>0.37</v>
      </c>
      <c r="N215" s="4">
        <v>0.05</v>
      </c>
      <c r="O215" s="29">
        <f t="shared" si="2"/>
        <v>49681982.14</v>
      </c>
      <c r="P215" s="29">
        <f t="shared" si="3"/>
        <v>78860289.12</v>
      </c>
      <c r="Q215" s="29">
        <f t="shared" si="4"/>
        <v>29178306.97</v>
      </c>
      <c r="R215" s="4">
        <v>0.075</v>
      </c>
      <c r="S215" s="29">
        <f t="shared" si="5"/>
        <v>57134279.46</v>
      </c>
      <c r="T215" s="29">
        <f t="shared" si="6"/>
        <v>90689332.48</v>
      </c>
      <c r="U215" s="29">
        <f t="shared" si="7"/>
        <v>33555053.02</v>
      </c>
    </row>
    <row r="216" ht="14.25" customHeight="1">
      <c r="A216" s="2">
        <v>214.0</v>
      </c>
      <c r="B216" s="2" t="s">
        <v>664</v>
      </c>
      <c r="C216" s="2" t="s">
        <v>662</v>
      </c>
      <c r="D216" s="3">
        <v>1.0E9</v>
      </c>
      <c r="E216" s="2" t="s">
        <v>100</v>
      </c>
      <c r="F216" s="4" t="str">
        <f>VLOOKUP(B216,Raw_Data_Collection!$B$2:$F$215,5,FALSE)</f>
        <v>N</v>
      </c>
      <c r="G216" s="3">
        <f>VLOOKUP(B216,Raw_Data_Collection!$B$2:$J$215,6,FALSE)</f>
        <v>6317072</v>
      </c>
      <c r="J216" s="18">
        <f>VLOOKUP(B216,Raw_Data_Collection!$B$2:$J$215,9,FALSE)</f>
        <v>6317072</v>
      </c>
      <c r="K216" s="18">
        <f>VLOOKUP(B216,Real_Estate_Stats!$A$2:$G$215,7,FALSE)</f>
        <v>6360357.143</v>
      </c>
      <c r="L216" s="18">
        <f t="shared" si="1"/>
        <v>993639642.9</v>
      </c>
      <c r="M216" s="4">
        <v>0.37</v>
      </c>
      <c r="N216" s="4">
        <v>0.05</v>
      </c>
      <c r="O216" s="29">
        <f t="shared" si="2"/>
        <v>49681982.14</v>
      </c>
      <c r="P216" s="29">
        <f t="shared" si="3"/>
        <v>78860289.12</v>
      </c>
      <c r="Q216" s="29">
        <f t="shared" si="4"/>
        <v>29178306.97</v>
      </c>
      <c r="R216" s="4">
        <v>0.075</v>
      </c>
      <c r="S216" s="29">
        <f t="shared" si="5"/>
        <v>57134279.46</v>
      </c>
      <c r="T216" s="29">
        <f t="shared" si="6"/>
        <v>90689332.48</v>
      </c>
      <c r="U216" s="29">
        <f t="shared" si="7"/>
        <v>33555053.02</v>
      </c>
    </row>
    <row r="217" ht="14.25" customHeight="1">
      <c r="D217" s="3"/>
    </row>
    <row r="218" ht="14.25" customHeight="1">
      <c r="D218" s="3"/>
    </row>
    <row r="219" ht="14.25" customHeight="1">
      <c r="D219" s="3"/>
    </row>
    <row r="220" ht="14.25" customHeight="1">
      <c r="D220" s="3"/>
    </row>
    <row r="221" ht="14.25" customHeight="1">
      <c r="D221" s="3"/>
      <c r="O221" s="31"/>
    </row>
    <row r="222" ht="14.25" customHeight="1">
      <c r="D222" s="3"/>
    </row>
    <row r="223" ht="14.25" customHeight="1">
      <c r="D223" s="3"/>
      <c r="O223" s="17"/>
    </row>
    <row r="224" ht="14.25" customHeight="1">
      <c r="D224" s="3"/>
    </row>
    <row r="225" ht="14.25" customHeight="1">
      <c r="D225" s="3"/>
    </row>
    <row r="226" ht="14.25" customHeight="1">
      <c r="D226" s="3"/>
    </row>
    <row r="227" ht="14.25" customHeight="1">
      <c r="D227" s="3"/>
    </row>
    <row r="228" ht="14.25" customHeight="1">
      <c r="D228" s="3"/>
    </row>
    <row r="229" ht="14.25" customHeight="1">
      <c r="D229" s="3"/>
    </row>
    <row r="230" ht="14.25" customHeight="1">
      <c r="D230" s="3"/>
    </row>
    <row r="231" ht="14.25" customHeight="1">
      <c r="D231" s="3"/>
    </row>
    <row r="232" ht="14.25" customHeight="1">
      <c r="D232" s="3"/>
    </row>
    <row r="233" ht="14.25" customHeight="1">
      <c r="D233" s="3"/>
    </row>
    <row r="234" ht="14.25" customHeight="1">
      <c r="D234" s="3"/>
    </row>
    <row r="235" ht="14.25" customHeight="1">
      <c r="D235" s="3"/>
    </row>
    <row r="236" ht="14.25" customHeight="1">
      <c r="D236" s="3"/>
    </row>
    <row r="237" ht="14.25" customHeight="1">
      <c r="D237" s="3"/>
    </row>
    <row r="238" ht="14.25" customHeight="1">
      <c r="D238" s="3"/>
    </row>
    <row r="239" ht="14.25" customHeight="1">
      <c r="D239" s="3"/>
    </row>
    <row r="240" ht="14.25" customHeight="1">
      <c r="D240" s="3"/>
    </row>
    <row r="241" ht="14.25" customHeight="1">
      <c r="D241" s="3"/>
    </row>
    <row r="242" ht="14.25" customHeight="1">
      <c r="D242" s="3"/>
    </row>
    <row r="243" ht="14.25" customHeight="1">
      <c r="D243" s="3"/>
    </row>
    <row r="244" ht="14.25" customHeight="1">
      <c r="D244" s="3"/>
    </row>
    <row r="245" ht="14.25" customHeight="1">
      <c r="D245" s="3"/>
    </row>
    <row r="246" ht="14.25" customHeight="1">
      <c r="D246" s="3"/>
    </row>
    <row r="247" ht="14.25" customHeight="1">
      <c r="D247" s="3"/>
    </row>
    <row r="248" ht="14.25" customHeight="1">
      <c r="D248" s="3"/>
    </row>
    <row r="249" ht="14.25" customHeight="1">
      <c r="D249" s="3"/>
    </row>
    <row r="250" ht="14.25" customHeight="1">
      <c r="D250" s="3"/>
    </row>
    <row r="251" ht="14.25" customHeight="1">
      <c r="D251" s="3"/>
    </row>
    <row r="252" ht="14.25" customHeight="1">
      <c r="D252" s="3"/>
    </row>
    <row r="253" ht="14.25" customHeight="1">
      <c r="D253" s="3"/>
    </row>
    <row r="254" ht="14.25" customHeight="1">
      <c r="D254" s="3"/>
    </row>
    <row r="255" ht="14.25" customHeight="1">
      <c r="D255" s="3"/>
    </row>
    <row r="256" ht="14.25" customHeight="1">
      <c r="D256" s="3"/>
    </row>
    <row r="257" ht="14.25" customHeight="1">
      <c r="D257" s="3"/>
    </row>
    <row r="258" ht="14.25" customHeight="1">
      <c r="D258" s="3"/>
    </row>
    <row r="259" ht="14.25" customHeight="1">
      <c r="D259" s="3"/>
    </row>
    <row r="260" ht="14.25" customHeight="1">
      <c r="D260" s="3"/>
    </row>
    <row r="261" ht="14.25" customHeight="1">
      <c r="D261" s="3"/>
    </row>
    <row r="262" ht="14.25" customHeight="1">
      <c r="D262" s="3"/>
    </row>
    <row r="263" ht="14.25" customHeight="1">
      <c r="D263" s="3"/>
    </row>
    <row r="264" ht="14.25" customHeight="1">
      <c r="D264" s="3"/>
    </row>
    <row r="265" ht="14.25" customHeight="1">
      <c r="D265" s="3"/>
    </row>
    <row r="266" ht="14.25" customHeight="1">
      <c r="D266" s="3"/>
    </row>
    <row r="267" ht="14.25" customHeight="1">
      <c r="D267" s="3"/>
    </row>
    <row r="268" ht="14.25" customHeight="1">
      <c r="D268" s="3"/>
    </row>
    <row r="269" ht="14.25" customHeight="1">
      <c r="D269" s="3"/>
    </row>
    <row r="270" ht="14.25" customHeight="1">
      <c r="D270" s="3"/>
    </row>
    <row r="271" ht="14.25" customHeight="1">
      <c r="D271" s="3"/>
    </row>
    <row r="272" ht="14.25" customHeight="1">
      <c r="D272" s="3"/>
    </row>
    <row r="273" ht="14.25" customHeight="1">
      <c r="D273" s="3"/>
    </row>
    <row r="274" ht="14.25" customHeight="1">
      <c r="D274" s="3"/>
    </row>
    <row r="275" ht="14.25" customHeight="1">
      <c r="D275" s="3"/>
    </row>
    <row r="276" ht="14.25" customHeight="1">
      <c r="D276" s="3"/>
    </row>
    <row r="277" ht="14.25" customHeight="1">
      <c r="D277" s="3"/>
    </row>
    <row r="278" ht="14.25" customHeight="1">
      <c r="D278" s="3"/>
    </row>
    <row r="279" ht="14.25" customHeight="1">
      <c r="D279" s="3"/>
    </row>
    <row r="280" ht="14.25" customHeight="1">
      <c r="D280" s="3"/>
    </row>
    <row r="281" ht="14.25" customHeight="1">
      <c r="D281" s="3"/>
    </row>
    <row r="282" ht="14.25" customHeight="1">
      <c r="D282" s="3"/>
    </row>
    <row r="283" ht="14.25" customHeight="1">
      <c r="D283" s="3"/>
    </row>
    <row r="284" ht="14.25" customHeight="1">
      <c r="D284" s="3"/>
    </row>
    <row r="285" ht="14.25" customHeight="1">
      <c r="D285" s="3"/>
    </row>
    <row r="286" ht="14.25" customHeight="1">
      <c r="D286" s="3"/>
    </row>
    <row r="287" ht="14.25" customHeight="1">
      <c r="D287" s="3"/>
    </row>
    <row r="288" ht="14.25" customHeight="1">
      <c r="D288" s="3"/>
    </row>
    <row r="289" ht="14.25" customHeight="1">
      <c r="D289" s="3"/>
    </row>
    <row r="290" ht="14.25" customHeight="1">
      <c r="D290" s="3"/>
    </row>
    <row r="291" ht="14.25" customHeight="1">
      <c r="D291" s="3"/>
    </row>
    <row r="292" ht="14.25" customHeight="1">
      <c r="D292" s="3"/>
    </row>
    <row r="293" ht="14.25" customHeight="1">
      <c r="D293" s="3"/>
    </row>
    <row r="294" ht="14.25" customHeight="1">
      <c r="D294" s="3"/>
    </row>
    <row r="295" ht="14.25" customHeight="1">
      <c r="D295" s="3"/>
    </row>
    <row r="296" ht="14.25" customHeight="1">
      <c r="D296" s="3"/>
    </row>
    <row r="297" ht="14.25" customHeight="1">
      <c r="D297" s="3"/>
    </row>
    <row r="298" ht="14.25" customHeight="1">
      <c r="D298" s="3"/>
    </row>
    <row r="299" ht="14.25" customHeight="1">
      <c r="D299" s="3"/>
    </row>
    <row r="300" ht="14.25" customHeight="1">
      <c r="D300" s="3"/>
    </row>
    <row r="301" ht="14.25" customHeight="1">
      <c r="D301" s="3"/>
    </row>
    <row r="302" ht="14.25" customHeight="1">
      <c r="D302" s="3"/>
    </row>
    <row r="303" ht="14.25" customHeight="1">
      <c r="D303" s="3"/>
    </row>
    <row r="304" ht="14.25" customHeight="1">
      <c r="D304" s="3"/>
    </row>
    <row r="305" ht="14.25" customHeight="1">
      <c r="D305" s="3"/>
    </row>
    <row r="306" ht="14.25" customHeight="1">
      <c r="D306" s="3"/>
    </row>
    <row r="307" ht="14.25" customHeight="1">
      <c r="D307" s="3"/>
    </row>
    <row r="308" ht="14.25" customHeight="1">
      <c r="D308" s="3"/>
    </row>
    <row r="309" ht="14.25" customHeight="1">
      <c r="D309" s="3"/>
    </row>
    <row r="310" ht="14.25" customHeight="1">
      <c r="D310" s="3"/>
    </row>
    <row r="311" ht="14.25" customHeight="1">
      <c r="D311" s="3"/>
    </row>
    <row r="312" ht="14.25" customHeight="1">
      <c r="D312" s="3"/>
    </row>
    <row r="313" ht="14.25" customHeight="1">
      <c r="D313" s="3"/>
    </row>
    <row r="314" ht="14.25" customHeight="1">
      <c r="D314" s="3"/>
    </row>
    <row r="315" ht="14.25" customHeight="1">
      <c r="D315" s="3"/>
    </row>
    <row r="316" ht="14.25" customHeight="1">
      <c r="D316" s="3"/>
    </row>
    <row r="317" ht="14.25" customHeight="1">
      <c r="D317" s="3"/>
    </row>
    <row r="318" ht="14.25" customHeight="1">
      <c r="D318" s="3"/>
    </row>
    <row r="319" ht="14.25" customHeight="1">
      <c r="D319" s="3"/>
    </row>
    <row r="320" ht="14.25" customHeight="1">
      <c r="D320" s="3"/>
    </row>
    <row r="321" ht="14.25" customHeight="1">
      <c r="D321" s="3"/>
    </row>
    <row r="322" ht="14.25" customHeight="1">
      <c r="D322" s="3"/>
    </row>
    <row r="323" ht="14.25" customHeight="1">
      <c r="D323" s="3"/>
    </row>
    <row r="324" ht="14.25" customHeight="1">
      <c r="D324" s="3"/>
    </row>
    <row r="325" ht="14.25" customHeight="1">
      <c r="D325" s="3"/>
    </row>
    <row r="326" ht="14.25" customHeight="1">
      <c r="D326" s="3"/>
    </row>
    <row r="327" ht="14.25" customHeight="1">
      <c r="D327" s="3"/>
    </row>
    <row r="328" ht="14.25" customHeight="1">
      <c r="D328" s="3"/>
    </row>
    <row r="329" ht="14.25" customHeight="1">
      <c r="D329" s="3"/>
    </row>
    <row r="330" ht="14.25" customHeight="1">
      <c r="D330" s="3"/>
    </row>
    <row r="331" ht="14.25" customHeight="1">
      <c r="D331" s="3"/>
    </row>
    <row r="332" ht="14.25" customHeight="1">
      <c r="D332" s="3"/>
    </row>
    <row r="333" ht="14.25" customHeight="1">
      <c r="D333" s="3"/>
    </row>
    <row r="334" ht="14.25" customHeight="1">
      <c r="D334" s="3"/>
    </row>
    <row r="335" ht="14.25" customHeight="1">
      <c r="D335" s="3"/>
    </row>
    <row r="336" ht="14.25" customHeight="1">
      <c r="D336" s="3"/>
    </row>
    <row r="337" ht="14.25" customHeight="1">
      <c r="D337" s="3"/>
    </row>
    <row r="338" ht="14.25" customHeight="1">
      <c r="D338" s="3"/>
    </row>
    <row r="339" ht="14.25" customHeight="1">
      <c r="D339" s="3"/>
    </row>
    <row r="340" ht="14.25" customHeight="1">
      <c r="D340" s="3"/>
    </row>
    <row r="341" ht="14.25" customHeight="1">
      <c r="D341" s="3"/>
    </row>
    <row r="342" ht="14.25" customHeight="1">
      <c r="D342" s="3"/>
    </row>
    <row r="343" ht="14.25" customHeight="1">
      <c r="D343" s="3"/>
    </row>
    <row r="344" ht="14.25" customHeight="1">
      <c r="D344" s="3"/>
    </row>
    <row r="345" ht="14.25" customHeight="1">
      <c r="D345" s="3"/>
    </row>
    <row r="346" ht="14.25" customHeight="1">
      <c r="D346" s="3"/>
    </row>
    <row r="347" ht="14.25" customHeight="1">
      <c r="D347" s="3"/>
    </row>
    <row r="348" ht="14.25" customHeight="1">
      <c r="D348" s="3"/>
    </row>
    <row r="349" ht="14.25" customHeight="1">
      <c r="D349" s="3"/>
    </row>
    <row r="350" ht="14.25" customHeight="1">
      <c r="D350" s="3"/>
    </row>
    <row r="351" ht="14.25" customHeight="1">
      <c r="D351" s="3"/>
    </row>
    <row r="352" ht="14.25" customHeight="1">
      <c r="D352" s="3"/>
    </row>
    <row r="353" ht="14.25" customHeight="1">
      <c r="D353" s="3"/>
    </row>
    <row r="354" ht="14.25" customHeight="1">
      <c r="D354" s="3"/>
    </row>
    <row r="355" ht="14.25" customHeight="1">
      <c r="D355" s="3"/>
    </row>
    <row r="356" ht="14.25" customHeight="1">
      <c r="D356" s="3"/>
    </row>
    <row r="357" ht="14.25" customHeight="1">
      <c r="D357" s="3"/>
    </row>
    <row r="358" ht="14.25" customHeight="1">
      <c r="D358" s="3"/>
    </row>
    <row r="359" ht="14.25" customHeight="1">
      <c r="D359" s="3"/>
    </row>
    <row r="360" ht="14.25" customHeight="1">
      <c r="D360" s="3"/>
    </row>
    <row r="361" ht="14.25" customHeight="1">
      <c r="D361" s="3"/>
    </row>
    <row r="362" ht="14.25" customHeight="1">
      <c r="D362" s="3"/>
    </row>
    <row r="363" ht="14.25" customHeight="1">
      <c r="D363" s="3"/>
    </row>
    <row r="364" ht="14.25" customHeight="1">
      <c r="D364" s="3"/>
    </row>
    <row r="365" ht="14.25" customHeight="1">
      <c r="D365" s="3"/>
    </row>
    <row r="366" ht="14.25" customHeight="1">
      <c r="D366" s="3"/>
    </row>
    <row r="367" ht="14.25" customHeight="1">
      <c r="D367" s="3"/>
    </row>
    <row r="368" ht="14.25" customHeight="1">
      <c r="D368" s="3"/>
    </row>
    <row r="369" ht="14.25" customHeight="1">
      <c r="D369" s="3"/>
    </row>
    <row r="370" ht="14.25" customHeight="1">
      <c r="D370" s="3"/>
    </row>
    <row r="371" ht="14.25" customHeight="1">
      <c r="D371" s="3"/>
    </row>
    <row r="372" ht="14.25" customHeight="1">
      <c r="D372" s="3"/>
    </row>
    <row r="373" ht="14.25" customHeight="1">
      <c r="D373" s="3"/>
    </row>
    <row r="374" ht="14.25" customHeight="1">
      <c r="D374" s="3"/>
    </row>
    <row r="375" ht="14.25" customHeight="1">
      <c r="D375" s="3"/>
    </row>
    <row r="376" ht="14.25" customHeight="1">
      <c r="D376" s="3"/>
    </row>
    <row r="377" ht="14.25" customHeight="1">
      <c r="D377" s="3"/>
    </row>
    <row r="378" ht="14.25" customHeight="1">
      <c r="D378" s="3"/>
    </row>
    <row r="379" ht="14.25" customHeight="1">
      <c r="D379" s="3"/>
    </row>
    <row r="380" ht="14.25" customHeight="1">
      <c r="D380" s="3"/>
    </row>
    <row r="381" ht="14.25" customHeight="1">
      <c r="D381" s="3"/>
    </row>
    <row r="382" ht="14.25" customHeight="1">
      <c r="D382" s="3"/>
    </row>
    <row r="383" ht="14.25" customHeight="1">
      <c r="D383" s="3"/>
    </row>
    <row r="384" ht="14.25" customHeight="1">
      <c r="D384" s="3"/>
    </row>
    <row r="385" ht="14.25" customHeight="1">
      <c r="D385" s="3"/>
    </row>
    <row r="386" ht="14.25" customHeight="1">
      <c r="D386" s="3"/>
    </row>
    <row r="387" ht="14.25" customHeight="1">
      <c r="D387" s="3"/>
    </row>
    <row r="388" ht="14.25" customHeight="1">
      <c r="D388" s="3"/>
    </row>
    <row r="389" ht="14.25" customHeight="1">
      <c r="D389" s="3"/>
    </row>
    <row r="390" ht="14.25" customHeight="1">
      <c r="D390" s="3"/>
    </row>
    <row r="391" ht="14.25" customHeight="1">
      <c r="D391" s="3"/>
    </row>
    <row r="392" ht="14.25" customHeight="1">
      <c r="D392" s="3"/>
    </row>
    <row r="393" ht="14.25" customHeight="1">
      <c r="D393" s="3"/>
    </row>
    <row r="394" ht="14.25" customHeight="1">
      <c r="D394" s="3"/>
    </row>
    <row r="395" ht="14.25" customHeight="1">
      <c r="D395" s="3"/>
    </row>
    <row r="396" ht="14.25" customHeight="1">
      <c r="D396" s="3"/>
    </row>
    <row r="397" ht="14.25" customHeight="1">
      <c r="D397" s="3"/>
    </row>
    <row r="398" ht="14.25" customHeight="1">
      <c r="D398" s="3"/>
    </row>
    <row r="399" ht="14.25" customHeight="1">
      <c r="D399" s="3"/>
    </row>
    <row r="400" ht="14.25" customHeight="1">
      <c r="D400" s="3"/>
    </row>
    <row r="401" ht="14.25" customHeight="1">
      <c r="D401" s="3"/>
    </row>
    <row r="402" ht="14.25" customHeight="1">
      <c r="D402" s="3"/>
    </row>
    <row r="403" ht="14.25" customHeight="1">
      <c r="D403" s="3"/>
    </row>
    <row r="404" ht="14.25" customHeight="1">
      <c r="D404" s="3"/>
    </row>
    <row r="405" ht="14.25" customHeight="1">
      <c r="D405" s="3"/>
    </row>
    <row r="406" ht="14.25" customHeight="1">
      <c r="D406" s="3"/>
    </row>
    <row r="407" ht="14.25" customHeight="1">
      <c r="D407" s="3"/>
    </row>
    <row r="408" ht="14.25" customHeight="1">
      <c r="D408" s="3"/>
    </row>
    <row r="409" ht="14.25" customHeight="1">
      <c r="D409" s="3"/>
    </row>
    <row r="410" ht="14.25" customHeight="1">
      <c r="D410" s="3"/>
    </row>
    <row r="411" ht="14.25" customHeight="1">
      <c r="D411" s="3"/>
    </row>
    <row r="412" ht="14.25" customHeight="1">
      <c r="D412" s="3"/>
    </row>
    <row r="413" ht="14.25" customHeight="1">
      <c r="D413" s="3"/>
    </row>
    <row r="414" ht="14.25" customHeight="1">
      <c r="D414" s="3"/>
    </row>
    <row r="415" ht="14.25" customHeight="1">
      <c r="D415" s="3"/>
    </row>
    <row r="416" ht="14.25" customHeight="1">
      <c r="D416" s="3"/>
    </row>
    <row r="417" ht="14.25" customHeight="1">
      <c r="D417" s="3"/>
    </row>
    <row r="418" ht="14.25" customHeight="1">
      <c r="D418" s="3"/>
    </row>
    <row r="419" ht="14.25" customHeight="1">
      <c r="D419" s="3"/>
    </row>
    <row r="420" ht="14.25" customHeight="1">
      <c r="D420" s="3"/>
    </row>
    <row r="421" ht="14.25" customHeight="1">
      <c r="D421" s="3"/>
    </row>
    <row r="422" ht="14.25" customHeight="1">
      <c r="D422" s="3"/>
    </row>
    <row r="423" ht="14.25" customHeight="1">
      <c r="D423" s="3"/>
    </row>
    <row r="424" ht="14.25" customHeight="1">
      <c r="D424" s="3"/>
    </row>
    <row r="425" ht="14.25" customHeight="1">
      <c r="D425" s="3"/>
    </row>
    <row r="426" ht="14.25" customHeight="1">
      <c r="D426" s="3"/>
    </row>
    <row r="427" ht="14.25" customHeight="1">
      <c r="D427" s="3"/>
    </row>
    <row r="428" ht="14.25" customHeight="1">
      <c r="D428" s="3"/>
    </row>
    <row r="429" ht="14.25" customHeight="1">
      <c r="D429" s="3"/>
    </row>
    <row r="430" ht="14.25" customHeight="1">
      <c r="D430" s="3"/>
    </row>
    <row r="431" ht="14.25" customHeight="1">
      <c r="D431" s="3"/>
    </row>
    <row r="432" ht="14.25" customHeight="1">
      <c r="D432" s="3"/>
    </row>
    <row r="433" ht="14.25" customHeight="1">
      <c r="D433" s="3"/>
    </row>
    <row r="434" ht="14.25" customHeight="1">
      <c r="D434" s="3"/>
    </row>
    <row r="435" ht="14.25" customHeight="1">
      <c r="D435" s="3"/>
    </row>
    <row r="436" ht="14.25" customHeight="1">
      <c r="D436" s="3"/>
    </row>
    <row r="437" ht="14.25" customHeight="1">
      <c r="D437" s="3"/>
    </row>
    <row r="438" ht="14.25" customHeight="1">
      <c r="D438" s="3"/>
    </row>
    <row r="439" ht="14.25" customHeight="1">
      <c r="D439" s="3"/>
    </row>
    <row r="440" ht="14.25" customHeight="1">
      <c r="D440" s="3"/>
    </row>
    <row r="441" ht="14.25" customHeight="1">
      <c r="D441" s="3"/>
    </row>
    <row r="442" ht="14.25" customHeight="1">
      <c r="D442" s="3"/>
    </row>
    <row r="443" ht="14.25" customHeight="1">
      <c r="D443" s="3"/>
    </row>
    <row r="444" ht="14.25" customHeight="1">
      <c r="D444" s="3"/>
    </row>
    <row r="445" ht="14.25" customHeight="1">
      <c r="D445" s="3"/>
    </row>
    <row r="446" ht="14.25" customHeight="1">
      <c r="D446" s="3"/>
    </row>
    <row r="447" ht="14.25" customHeight="1">
      <c r="D447" s="3"/>
    </row>
    <row r="448" ht="14.25" customHeight="1">
      <c r="D448" s="3"/>
    </row>
    <row r="449" ht="14.25" customHeight="1">
      <c r="D449" s="3"/>
    </row>
    <row r="450" ht="14.25" customHeight="1">
      <c r="D450" s="3"/>
    </row>
    <row r="451" ht="14.25" customHeight="1">
      <c r="D451" s="3"/>
    </row>
    <row r="452" ht="14.25" customHeight="1">
      <c r="D452" s="3"/>
    </row>
    <row r="453" ht="14.25" customHeight="1">
      <c r="D453" s="3"/>
    </row>
    <row r="454" ht="14.25" customHeight="1">
      <c r="D454" s="3"/>
    </row>
    <row r="455" ht="14.25" customHeight="1">
      <c r="D455" s="3"/>
    </row>
    <row r="456" ht="14.25" customHeight="1">
      <c r="D456" s="3"/>
    </row>
    <row r="457" ht="14.25" customHeight="1">
      <c r="D457" s="3"/>
    </row>
    <row r="458" ht="14.25" customHeight="1">
      <c r="D458" s="3"/>
    </row>
    <row r="459" ht="14.25" customHeight="1">
      <c r="D459" s="3"/>
    </row>
    <row r="460" ht="14.25" customHeight="1">
      <c r="D460" s="3"/>
    </row>
    <row r="461" ht="14.25" customHeight="1">
      <c r="D461" s="3"/>
    </row>
    <row r="462" ht="14.25" customHeight="1">
      <c r="D462" s="3"/>
    </row>
    <row r="463" ht="14.25" customHeight="1">
      <c r="D463" s="3"/>
    </row>
    <row r="464" ht="14.25" customHeight="1">
      <c r="D464" s="3"/>
    </row>
    <row r="465" ht="14.25" customHeight="1">
      <c r="D465" s="3"/>
    </row>
    <row r="466" ht="14.25" customHeight="1">
      <c r="D466" s="3"/>
    </row>
    <row r="467" ht="14.25" customHeight="1">
      <c r="D467" s="3"/>
    </row>
    <row r="468" ht="14.25" customHeight="1">
      <c r="D468" s="3"/>
    </row>
    <row r="469" ht="14.25" customHeight="1">
      <c r="D469" s="3"/>
    </row>
    <row r="470" ht="14.25" customHeight="1">
      <c r="D470" s="3"/>
    </row>
    <row r="471" ht="14.25" customHeight="1">
      <c r="D471" s="3"/>
    </row>
    <row r="472" ht="14.25" customHeight="1">
      <c r="D472" s="3"/>
    </row>
    <row r="473" ht="14.25" customHeight="1">
      <c r="D473" s="3"/>
    </row>
    <row r="474" ht="14.25" customHeight="1">
      <c r="D474" s="3"/>
    </row>
    <row r="475" ht="14.25" customHeight="1">
      <c r="D475" s="3"/>
    </row>
    <row r="476" ht="14.25" customHeight="1">
      <c r="D476" s="3"/>
    </row>
    <row r="477" ht="14.25" customHeight="1">
      <c r="D477" s="3"/>
    </row>
    <row r="478" ht="14.25" customHeight="1">
      <c r="D478" s="3"/>
    </row>
    <row r="479" ht="14.25" customHeight="1">
      <c r="D479" s="3"/>
    </row>
    <row r="480" ht="14.25" customHeight="1">
      <c r="D480" s="3"/>
    </row>
    <row r="481" ht="14.25" customHeight="1">
      <c r="D481" s="3"/>
    </row>
    <row r="482" ht="14.25" customHeight="1">
      <c r="D482" s="3"/>
    </row>
    <row r="483" ht="14.25" customHeight="1">
      <c r="D483" s="3"/>
    </row>
    <row r="484" ht="14.25" customHeight="1">
      <c r="D484" s="3"/>
    </row>
    <row r="485" ht="14.25" customHeight="1">
      <c r="D485" s="3"/>
    </row>
    <row r="486" ht="14.25" customHeight="1">
      <c r="D486" s="3"/>
    </row>
    <row r="487" ht="14.25" customHeight="1">
      <c r="D487" s="3"/>
    </row>
    <row r="488" ht="14.25" customHeight="1">
      <c r="D488" s="3"/>
    </row>
    <row r="489" ht="14.25" customHeight="1">
      <c r="D489" s="3"/>
    </row>
    <row r="490" ht="14.25" customHeight="1">
      <c r="D490" s="3"/>
    </row>
    <row r="491" ht="14.25" customHeight="1">
      <c r="D491" s="3"/>
    </row>
    <row r="492" ht="14.25" customHeight="1">
      <c r="D492" s="3"/>
    </row>
    <row r="493" ht="14.25" customHeight="1">
      <c r="D493" s="3"/>
    </row>
    <row r="494" ht="14.25" customHeight="1">
      <c r="D494" s="3"/>
    </row>
    <row r="495" ht="14.25" customHeight="1">
      <c r="D495" s="3"/>
    </row>
    <row r="496" ht="14.25" customHeight="1">
      <c r="D496" s="3"/>
    </row>
    <row r="497" ht="14.25" customHeight="1">
      <c r="D497" s="3"/>
    </row>
    <row r="498" ht="14.25" customHeight="1">
      <c r="D498" s="3"/>
    </row>
    <row r="499" ht="14.25" customHeight="1">
      <c r="D499" s="3"/>
    </row>
    <row r="500" ht="14.25" customHeight="1">
      <c r="D500" s="3"/>
    </row>
    <row r="501" ht="14.25" customHeight="1">
      <c r="D501" s="3"/>
    </row>
    <row r="502" ht="14.25" customHeight="1">
      <c r="D502" s="3"/>
    </row>
    <row r="503" ht="14.25" customHeight="1">
      <c r="D503" s="3"/>
    </row>
    <row r="504" ht="14.25" customHeight="1">
      <c r="D504" s="3"/>
    </row>
    <row r="505" ht="14.25" customHeight="1">
      <c r="D505" s="3"/>
    </row>
    <row r="506" ht="14.25" customHeight="1">
      <c r="D506" s="3"/>
    </row>
    <row r="507" ht="14.25" customHeight="1">
      <c r="D507" s="3"/>
    </row>
    <row r="508" ht="14.25" customHeight="1">
      <c r="D508" s="3"/>
    </row>
    <row r="509" ht="14.25" customHeight="1">
      <c r="D509" s="3"/>
    </row>
    <row r="510" ht="14.25" customHeight="1">
      <c r="D510" s="3"/>
    </row>
    <row r="511" ht="14.25" customHeight="1">
      <c r="D511" s="3"/>
    </row>
    <row r="512" ht="14.25" customHeight="1">
      <c r="D512" s="3"/>
    </row>
    <row r="513" ht="14.25" customHeight="1">
      <c r="D513" s="3"/>
    </row>
    <row r="514" ht="14.25" customHeight="1">
      <c r="D514" s="3"/>
    </row>
    <row r="515" ht="14.25" customHeight="1">
      <c r="D515" s="3"/>
    </row>
    <row r="516" ht="14.25" customHeight="1">
      <c r="D516" s="3"/>
    </row>
    <row r="517" ht="14.25" customHeight="1">
      <c r="D517" s="3"/>
    </row>
    <row r="518" ht="14.25" customHeight="1">
      <c r="D518" s="3"/>
    </row>
    <row r="519" ht="14.25" customHeight="1">
      <c r="D519" s="3"/>
    </row>
    <row r="520" ht="14.25" customHeight="1">
      <c r="D520" s="3"/>
    </row>
    <row r="521" ht="14.25" customHeight="1">
      <c r="D521" s="3"/>
    </row>
    <row r="522" ht="14.25" customHeight="1">
      <c r="D522" s="3"/>
    </row>
    <row r="523" ht="14.25" customHeight="1">
      <c r="D523" s="3"/>
    </row>
    <row r="524" ht="14.25" customHeight="1">
      <c r="D524" s="3"/>
    </row>
    <row r="525" ht="14.25" customHeight="1">
      <c r="D525" s="3"/>
    </row>
    <row r="526" ht="14.25" customHeight="1">
      <c r="D526" s="3"/>
    </row>
    <row r="527" ht="14.25" customHeight="1">
      <c r="D527" s="3"/>
    </row>
    <row r="528" ht="14.25" customHeight="1">
      <c r="D528" s="3"/>
    </row>
    <row r="529" ht="14.25" customHeight="1">
      <c r="D529" s="3"/>
    </row>
    <row r="530" ht="14.25" customHeight="1">
      <c r="D530" s="3"/>
    </row>
    <row r="531" ht="14.25" customHeight="1">
      <c r="D531" s="3"/>
    </row>
    <row r="532" ht="14.25" customHeight="1">
      <c r="D532" s="3"/>
    </row>
    <row r="533" ht="14.25" customHeight="1">
      <c r="D533" s="3"/>
    </row>
    <row r="534" ht="14.25" customHeight="1">
      <c r="D534" s="3"/>
    </row>
    <row r="535" ht="14.25" customHeight="1">
      <c r="D535" s="3"/>
    </row>
    <row r="536" ht="14.25" customHeight="1">
      <c r="D536" s="3"/>
    </row>
    <row r="537" ht="14.25" customHeight="1">
      <c r="D537" s="3"/>
    </row>
    <row r="538" ht="14.25" customHeight="1">
      <c r="D538" s="3"/>
    </row>
    <row r="539" ht="14.25" customHeight="1">
      <c r="D539" s="3"/>
    </row>
    <row r="540" ht="14.25" customHeight="1">
      <c r="D540" s="3"/>
    </row>
    <row r="541" ht="14.25" customHeight="1">
      <c r="D541" s="3"/>
    </row>
    <row r="542" ht="14.25" customHeight="1">
      <c r="D542" s="3"/>
    </row>
    <row r="543" ht="14.25" customHeight="1">
      <c r="D543" s="3"/>
    </row>
    <row r="544" ht="14.25" customHeight="1">
      <c r="D544" s="3"/>
    </row>
    <row r="545" ht="14.25" customHeight="1">
      <c r="D545" s="3"/>
    </row>
    <row r="546" ht="14.25" customHeight="1">
      <c r="D546" s="3"/>
    </row>
    <row r="547" ht="14.25" customHeight="1">
      <c r="D547" s="3"/>
    </row>
    <row r="548" ht="14.25" customHeight="1">
      <c r="D548" s="3"/>
    </row>
    <row r="549" ht="14.25" customHeight="1">
      <c r="D549" s="3"/>
    </row>
    <row r="550" ht="14.25" customHeight="1">
      <c r="D550" s="3"/>
    </row>
    <row r="551" ht="14.25" customHeight="1">
      <c r="D551" s="3"/>
    </row>
    <row r="552" ht="14.25" customHeight="1">
      <c r="D552" s="3"/>
    </row>
    <row r="553" ht="14.25" customHeight="1">
      <c r="D553" s="3"/>
    </row>
    <row r="554" ht="14.25" customHeight="1">
      <c r="D554" s="3"/>
    </row>
    <row r="555" ht="14.25" customHeight="1">
      <c r="D555" s="3"/>
    </row>
    <row r="556" ht="14.25" customHeight="1">
      <c r="D556" s="3"/>
    </row>
    <row r="557" ht="14.25" customHeight="1">
      <c r="D557" s="3"/>
    </row>
    <row r="558" ht="14.25" customHeight="1">
      <c r="D558" s="3"/>
    </row>
    <row r="559" ht="14.25" customHeight="1">
      <c r="D559" s="3"/>
    </row>
    <row r="560" ht="14.25" customHeight="1">
      <c r="D560" s="3"/>
    </row>
    <row r="561" ht="14.25" customHeight="1">
      <c r="D561" s="3"/>
    </row>
    <row r="562" ht="14.25" customHeight="1">
      <c r="D562" s="3"/>
    </row>
    <row r="563" ht="14.25" customHeight="1">
      <c r="D563" s="3"/>
    </row>
    <row r="564" ht="14.25" customHeight="1">
      <c r="D564" s="3"/>
    </row>
    <row r="565" ht="14.25" customHeight="1">
      <c r="D565" s="3"/>
    </row>
    <row r="566" ht="14.25" customHeight="1">
      <c r="D566" s="3"/>
    </row>
    <row r="567" ht="14.25" customHeight="1">
      <c r="D567" s="3"/>
    </row>
    <row r="568" ht="14.25" customHeight="1">
      <c r="D568" s="3"/>
    </row>
    <row r="569" ht="14.25" customHeight="1">
      <c r="D569" s="3"/>
    </row>
    <row r="570" ht="14.25" customHeight="1">
      <c r="D570" s="3"/>
    </row>
    <row r="571" ht="14.25" customHeight="1">
      <c r="D571" s="3"/>
    </row>
    <row r="572" ht="14.25" customHeight="1">
      <c r="D572" s="3"/>
    </row>
    <row r="573" ht="14.25" customHeight="1">
      <c r="D573" s="3"/>
    </row>
    <row r="574" ht="14.25" customHeight="1">
      <c r="D574" s="3"/>
    </row>
    <row r="575" ht="14.25" customHeight="1">
      <c r="D575" s="3"/>
    </row>
    <row r="576" ht="14.25" customHeight="1">
      <c r="D576" s="3"/>
    </row>
    <row r="577" ht="14.25" customHeight="1">
      <c r="D577" s="3"/>
    </row>
    <row r="578" ht="14.25" customHeight="1">
      <c r="D578" s="3"/>
    </row>
    <row r="579" ht="14.25" customHeight="1">
      <c r="D579" s="3"/>
    </row>
    <row r="580" ht="14.25" customHeight="1">
      <c r="D580" s="3"/>
    </row>
    <row r="581" ht="14.25" customHeight="1">
      <c r="D581" s="3"/>
    </row>
    <row r="582" ht="14.25" customHeight="1">
      <c r="D582" s="3"/>
    </row>
    <row r="583" ht="14.25" customHeight="1">
      <c r="D583" s="3"/>
    </row>
    <row r="584" ht="14.25" customHeight="1">
      <c r="D584" s="3"/>
    </row>
    <row r="585" ht="14.25" customHeight="1">
      <c r="D585" s="3"/>
    </row>
    <row r="586" ht="14.25" customHeight="1">
      <c r="D586" s="3"/>
    </row>
    <row r="587" ht="14.25" customHeight="1">
      <c r="D587" s="3"/>
    </row>
    <row r="588" ht="14.25" customHeight="1">
      <c r="D588" s="3"/>
    </row>
    <row r="589" ht="14.25" customHeight="1">
      <c r="D589" s="3"/>
    </row>
    <row r="590" ht="14.25" customHeight="1">
      <c r="D590" s="3"/>
    </row>
    <row r="591" ht="14.25" customHeight="1">
      <c r="D591" s="3"/>
    </row>
    <row r="592" ht="14.25" customHeight="1">
      <c r="D592" s="3"/>
    </row>
    <row r="593" ht="14.25" customHeight="1">
      <c r="D593" s="3"/>
    </row>
    <row r="594" ht="14.25" customHeight="1">
      <c r="D594" s="3"/>
    </row>
    <row r="595" ht="14.25" customHeight="1">
      <c r="D595" s="3"/>
    </row>
    <row r="596" ht="14.25" customHeight="1">
      <c r="D596" s="3"/>
    </row>
    <row r="597" ht="14.25" customHeight="1">
      <c r="D597" s="3"/>
    </row>
    <row r="598" ht="14.25" customHeight="1">
      <c r="D598" s="3"/>
    </row>
    <row r="599" ht="14.25" customHeight="1">
      <c r="D599" s="3"/>
    </row>
    <row r="600" ht="14.25" customHeight="1">
      <c r="D600" s="3"/>
    </row>
    <row r="601" ht="14.25" customHeight="1">
      <c r="D601" s="3"/>
    </row>
    <row r="602" ht="14.25" customHeight="1">
      <c r="D602" s="3"/>
    </row>
    <row r="603" ht="14.25" customHeight="1">
      <c r="D603" s="3"/>
    </row>
    <row r="604" ht="14.25" customHeight="1">
      <c r="D604" s="3"/>
    </row>
    <row r="605" ht="14.25" customHeight="1">
      <c r="D605" s="3"/>
    </row>
    <row r="606" ht="14.25" customHeight="1">
      <c r="D606" s="3"/>
    </row>
    <row r="607" ht="14.25" customHeight="1">
      <c r="D607" s="3"/>
    </row>
    <row r="608" ht="14.25" customHeight="1">
      <c r="D608" s="3"/>
    </row>
    <row r="609" ht="14.25" customHeight="1">
      <c r="D609" s="3"/>
    </row>
    <row r="610" ht="14.25" customHeight="1">
      <c r="D610" s="3"/>
    </row>
    <row r="611" ht="14.25" customHeight="1">
      <c r="D611" s="3"/>
    </row>
    <row r="612" ht="14.25" customHeight="1">
      <c r="D612" s="3"/>
    </row>
    <row r="613" ht="14.25" customHeight="1">
      <c r="D613" s="3"/>
    </row>
    <row r="614" ht="14.25" customHeight="1">
      <c r="D614" s="3"/>
    </row>
    <row r="615" ht="14.25" customHeight="1">
      <c r="D615" s="3"/>
    </row>
    <row r="616" ht="14.25" customHeight="1">
      <c r="D616" s="3"/>
    </row>
    <row r="617" ht="14.25" customHeight="1">
      <c r="D617" s="3"/>
    </row>
    <row r="618" ht="14.25" customHeight="1">
      <c r="D618" s="3"/>
    </row>
    <row r="619" ht="14.25" customHeight="1">
      <c r="D619" s="3"/>
    </row>
    <row r="620" ht="14.25" customHeight="1">
      <c r="D620" s="3"/>
    </row>
    <row r="621" ht="14.25" customHeight="1">
      <c r="D621" s="3"/>
    </row>
    <row r="622" ht="14.25" customHeight="1">
      <c r="D622" s="3"/>
    </row>
    <row r="623" ht="14.25" customHeight="1">
      <c r="D623" s="3"/>
    </row>
    <row r="624" ht="14.25" customHeight="1">
      <c r="D624" s="3"/>
    </row>
    <row r="625" ht="14.25" customHeight="1">
      <c r="D625" s="3"/>
    </row>
    <row r="626" ht="14.25" customHeight="1">
      <c r="D626" s="3"/>
    </row>
    <row r="627" ht="14.25" customHeight="1">
      <c r="D627" s="3"/>
    </row>
    <row r="628" ht="14.25" customHeight="1">
      <c r="D628" s="3"/>
    </row>
    <row r="629" ht="14.25" customHeight="1">
      <c r="D629" s="3"/>
    </row>
    <row r="630" ht="14.25" customHeight="1">
      <c r="D630" s="3"/>
    </row>
    <row r="631" ht="14.25" customHeight="1">
      <c r="D631" s="3"/>
    </row>
    <row r="632" ht="14.25" customHeight="1">
      <c r="D632" s="3"/>
    </row>
    <row r="633" ht="14.25" customHeight="1">
      <c r="D633" s="3"/>
    </row>
    <row r="634" ht="14.25" customHeight="1">
      <c r="D634" s="3"/>
    </row>
    <row r="635" ht="14.25" customHeight="1">
      <c r="D635" s="3"/>
    </row>
    <row r="636" ht="14.25" customHeight="1">
      <c r="D636" s="3"/>
    </row>
    <row r="637" ht="14.25" customHeight="1">
      <c r="D637" s="3"/>
    </row>
    <row r="638" ht="14.25" customHeight="1">
      <c r="D638" s="3"/>
    </row>
    <row r="639" ht="14.25" customHeight="1">
      <c r="D639" s="3"/>
    </row>
    <row r="640" ht="14.25" customHeight="1">
      <c r="D640" s="3"/>
    </row>
    <row r="641" ht="14.25" customHeight="1">
      <c r="D641" s="3"/>
    </row>
    <row r="642" ht="14.25" customHeight="1">
      <c r="D642" s="3"/>
    </row>
    <row r="643" ht="14.25" customHeight="1">
      <c r="D643" s="3"/>
    </row>
    <row r="644" ht="14.25" customHeight="1">
      <c r="D644" s="3"/>
    </row>
    <row r="645" ht="14.25" customHeight="1">
      <c r="D645" s="3"/>
    </row>
    <row r="646" ht="14.25" customHeight="1">
      <c r="D646" s="3"/>
    </row>
    <row r="647" ht="14.25" customHeight="1">
      <c r="D647" s="3"/>
    </row>
    <row r="648" ht="14.25" customHeight="1">
      <c r="D648" s="3"/>
    </row>
    <row r="649" ht="14.25" customHeight="1">
      <c r="D649" s="3"/>
    </row>
    <row r="650" ht="14.25" customHeight="1">
      <c r="D650" s="3"/>
    </row>
    <row r="651" ht="14.25" customHeight="1">
      <c r="D651" s="3"/>
    </row>
    <row r="652" ht="14.25" customHeight="1">
      <c r="D652" s="3"/>
    </row>
    <row r="653" ht="14.25" customHeight="1">
      <c r="D653" s="3"/>
    </row>
    <row r="654" ht="14.25" customHeight="1">
      <c r="D654" s="3"/>
    </row>
    <row r="655" ht="14.25" customHeight="1">
      <c r="D655" s="3"/>
    </row>
    <row r="656" ht="14.25" customHeight="1">
      <c r="D656" s="3"/>
    </row>
    <row r="657" ht="14.25" customHeight="1">
      <c r="D657" s="3"/>
    </row>
    <row r="658" ht="14.25" customHeight="1">
      <c r="D658" s="3"/>
    </row>
    <row r="659" ht="14.25" customHeight="1">
      <c r="D659" s="3"/>
    </row>
    <row r="660" ht="14.25" customHeight="1">
      <c r="D660" s="3"/>
    </row>
    <row r="661" ht="14.25" customHeight="1">
      <c r="D661" s="3"/>
    </row>
    <row r="662" ht="14.25" customHeight="1">
      <c r="D662" s="3"/>
    </row>
    <row r="663" ht="14.25" customHeight="1">
      <c r="D663" s="3"/>
    </row>
    <row r="664" ht="14.25" customHeight="1">
      <c r="D664" s="3"/>
    </row>
    <row r="665" ht="14.25" customHeight="1">
      <c r="D665" s="3"/>
    </row>
    <row r="666" ht="14.25" customHeight="1">
      <c r="D666" s="3"/>
    </row>
    <row r="667" ht="14.25" customHeight="1">
      <c r="D667" s="3"/>
    </row>
    <row r="668" ht="14.25" customHeight="1">
      <c r="D668" s="3"/>
    </row>
    <row r="669" ht="14.25" customHeight="1">
      <c r="D669" s="3"/>
    </row>
    <row r="670" ht="14.25" customHeight="1">
      <c r="D670" s="3"/>
    </row>
    <row r="671" ht="14.25" customHeight="1">
      <c r="D671" s="3"/>
    </row>
    <row r="672" ht="14.25" customHeight="1">
      <c r="D672" s="3"/>
    </row>
    <row r="673" ht="14.25" customHeight="1">
      <c r="D673" s="3"/>
    </row>
    <row r="674" ht="14.25" customHeight="1">
      <c r="D674" s="3"/>
    </row>
    <row r="675" ht="14.25" customHeight="1">
      <c r="D675" s="3"/>
    </row>
    <row r="676" ht="14.25" customHeight="1">
      <c r="D676" s="3"/>
    </row>
    <row r="677" ht="14.25" customHeight="1">
      <c r="D677" s="3"/>
    </row>
    <row r="678" ht="14.25" customHeight="1">
      <c r="D678" s="3"/>
    </row>
    <row r="679" ht="14.25" customHeight="1">
      <c r="D679" s="3"/>
    </row>
    <row r="680" ht="14.25" customHeight="1">
      <c r="D680" s="3"/>
    </row>
    <row r="681" ht="14.25" customHeight="1">
      <c r="D681" s="3"/>
    </row>
    <row r="682" ht="14.25" customHeight="1">
      <c r="D682" s="3"/>
    </row>
    <row r="683" ht="14.25" customHeight="1">
      <c r="D683" s="3"/>
    </row>
    <row r="684" ht="14.25" customHeight="1">
      <c r="D684" s="3"/>
    </row>
    <row r="685" ht="14.25" customHeight="1">
      <c r="D685" s="3"/>
    </row>
    <row r="686" ht="14.25" customHeight="1">
      <c r="D686" s="3"/>
    </row>
    <row r="687" ht="14.25" customHeight="1">
      <c r="D687" s="3"/>
    </row>
    <row r="688" ht="14.25" customHeight="1">
      <c r="D688" s="3"/>
    </row>
    <row r="689" ht="14.25" customHeight="1">
      <c r="D689" s="3"/>
    </row>
    <row r="690" ht="14.25" customHeight="1">
      <c r="D690" s="3"/>
    </row>
    <row r="691" ht="14.25" customHeight="1">
      <c r="D691" s="3"/>
    </row>
    <row r="692" ht="14.25" customHeight="1">
      <c r="D692" s="3"/>
    </row>
    <row r="693" ht="14.25" customHeight="1">
      <c r="D693" s="3"/>
    </row>
    <row r="694" ht="14.25" customHeight="1">
      <c r="D694" s="3"/>
    </row>
    <row r="695" ht="14.25" customHeight="1">
      <c r="D695" s="3"/>
    </row>
    <row r="696" ht="14.25" customHeight="1">
      <c r="D696" s="3"/>
    </row>
    <row r="697" ht="14.25" customHeight="1">
      <c r="D697" s="3"/>
    </row>
    <row r="698" ht="14.25" customHeight="1">
      <c r="D698" s="3"/>
    </row>
    <row r="699" ht="14.25" customHeight="1">
      <c r="D699" s="3"/>
    </row>
    <row r="700" ht="14.25" customHeight="1">
      <c r="D700" s="3"/>
    </row>
    <row r="701" ht="14.25" customHeight="1">
      <c r="D701" s="3"/>
    </row>
    <row r="702" ht="14.25" customHeight="1">
      <c r="D702" s="3"/>
    </row>
    <row r="703" ht="14.25" customHeight="1">
      <c r="D703" s="3"/>
    </row>
    <row r="704" ht="14.25" customHeight="1">
      <c r="D704" s="3"/>
    </row>
    <row r="705" ht="14.25" customHeight="1">
      <c r="D705" s="3"/>
    </row>
    <row r="706" ht="14.25" customHeight="1">
      <c r="D706" s="3"/>
    </row>
    <row r="707" ht="14.25" customHeight="1">
      <c r="D707" s="3"/>
    </row>
    <row r="708" ht="14.25" customHeight="1">
      <c r="D708" s="3"/>
    </row>
    <row r="709" ht="14.25" customHeight="1">
      <c r="D709" s="3"/>
    </row>
    <row r="710" ht="14.25" customHeight="1">
      <c r="D710" s="3"/>
    </row>
    <row r="711" ht="14.25" customHeight="1">
      <c r="D711" s="3"/>
    </row>
    <row r="712" ht="14.25" customHeight="1">
      <c r="D712" s="3"/>
    </row>
    <row r="713" ht="14.25" customHeight="1">
      <c r="D713" s="3"/>
    </row>
    <row r="714" ht="14.25" customHeight="1">
      <c r="D714" s="3"/>
    </row>
    <row r="715" ht="14.25" customHeight="1">
      <c r="D715" s="3"/>
    </row>
    <row r="716" ht="14.25" customHeight="1">
      <c r="D716" s="3"/>
    </row>
    <row r="717" ht="14.25" customHeight="1">
      <c r="D717" s="3"/>
    </row>
    <row r="718" ht="14.25" customHeight="1">
      <c r="D718" s="3"/>
    </row>
    <row r="719" ht="14.25" customHeight="1">
      <c r="D719" s="3"/>
    </row>
    <row r="720" ht="14.25" customHeight="1">
      <c r="D720" s="3"/>
    </row>
    <row r="721" ht="14.25" customHeight="1">
      <c r="D721" s="3"/>
    </row>
    <row r="722" ht="14.25" customHeight="1">
      <c r="D722" s="3"/>
    </row>
    <row r="723" ht="14.25" customHeight="1">
      <c r="D723" s="3"/>
    </row>
    <row r="724" ht="14.25" customHeight="1">
      <c r="D724" s="3"/>
    </row>
    <row r="725" ht="14.25" customHeight="1">
      <c r="D725" s="3"/>
    </row>
    <row r="726" ht="14.25" customHeight="1">
      <c r="D726" s="3"/>
    </row>
    <row r="727" ht="14.25" customHeight="1">
      <c r="D727" s="3"/>
    </row>
    <row r="728" ht="14.25" customHeight="1">
      <c r="D728" s="3"/>
    </row>
    <row r="729" ht="14.25" customHeight="1">
      <c r="D729" s="3"/>
    </row>
    <row r="730" ht="14.25" customHeight="1">
      <c r="D730" s="3"/>
    </row>
    <row r="731" ht="14.25" customHeight="1">
      <c r="D731" s="3"/>
    </row>
    <row r="732" ht="14.25" customHeight="1">
      <c r="D732" s="3"/>
    </row>
    <row r="733" ht="14.25" customHeight="1">
      <c r="D733" s="3"/>
    </row>
    <row r="734" ht="14.25" customHeight="1">
      <c r="D734" s="3"/>
    </row>
    <row r="735" ht="14.25" customHeight="1">
      <c r="D735" s="3"/>
    </row>
    <row r="736" ht="14.25" customHeight="1">
      <c r="D736" s="3"/>
    </row>
    <row r="737" ht="14.25" customHeight="1">
      <c r="D737" s="3"/>
    </row>
    <row r="738" ht="14.25" customHeight="1">
      <c r="D738" s="3"/>
    </row>
    <row r="739" ht="14.25" customHeight="1">
      <c r="D739" s="3"/>
    </row>
    <row r="740" ht="14.25" customHeight="1">
      <c r="D740" s="3"/>
    </row>
    <row r="741" ht="14.25" customHeight="1">
      <c r="D741" s="3"/>
    </row>
    <row r="742" ht="14.25" customHeight="1">
      <c r="D742" s="3"/>
    </row>
    <row r="743" ht="14.25" customHeight="1">
      <c r="D743" s="3"/>
    </row>
    <row r="744" ht="14.25" customHeight="1">
      <c r="D744" s="3"/>
    </row>
    <row r="745" ht="14.25" customHeight="1">
      <c r="D745" s="3"/>
    </row>
    <row r="746" ht="14.25" customHeight="1">
      <c r="D746" s="3"/>
    </row>
    <row r="747" ht="14.25" customHeight="1">
      <c r="D747" s="3"/>
    </row>
    <row r="748" ht="14.25" customHeight="1">
      <c r="D748" s="3"/>
    </row>
    <row r="749" ht="14.25" customHeight="1">
      <c r="D749" s="3"/>
    </row>
    <row r="750" ht="14.25" customHeight="1">
      <c r="D750" s="3"/>
    </row>
    <row r="751" ht="14.25" customHeight="1">
      <c r="D751" s="3"/>
    </row>
    <row r="752" ht="14.25" customHeight="1">
      <c r="D752" s="3"/>
    </row>
    <row r="753" ht="14.25" customHeight="1">
      <c r="D753" s="3"/>
    </row>
    <row r="754" ht="14.25" customHeight="1">
      <c r="D754" s="3"/>
    </row>
    <row r="755" ht="14.25" customHeight="1">
      <c r="D755" s="3"/>
    </row>
    <row r="756" ht="14.25" customHeight="1">
      <c r="D756" s="3"/>
    </row>
    <row r="757" ht="14.25" customHeight="1">
      <c r="D757" s="3"/>
    </row>
    <row r="758" ht="14.25" customHeight="1">
      <c r="D758" s="3"/>
    </row>
    <row r="759" ht="14.25" customHeight="1">
      <c r="D759" s="3"/>
    </row>
    <row r="760" ht="14.25" customHeight="1">
      <c r="D760" s="3"/>
    </row>
    <row r="761" ht="14.25" customHeight="1">
      <c r="D761" s="3"/>
    </row>
    <row r="762" ht="14.25" customHeight="1">
      <c r="D762" s="3"/>
    </row>
    <row r="763" ht="14.25" customHeight="1">
      <c r="D763" s="3"/>
    </row>
    <row r="764" ht="14.25" customHeight="1">
      <c r="D764" s="3"/>
    </row>
    <row r="765" ht="14.25" customHeight="1">
      <c r="D765" s="3"/>
    </row>
    <row r="766" ht="14.25" customHeight="1">
      <c r="D766" s="3"/>
    </row>
    <row r="767" ht="14.25" customHeight="1">
      <c r="D767" s="3"/>
    </row>
    <row r="768" ht="14.25" customHeight="1">
      <c r="D768" s="3"/>
    </row>
    <row r="769" ht="14.25" customHeight="1">
      <c r="D769" s="3"/>
    </row>
    <row r="770" ht="14.25" customHeight="1">
      <c r="D770" s="3"/>
    </row>
    <row r="771" ht="14.25" customHeight="1">
      <c r="D771" s="3"/>
    </row>
    <row r="772" ht="14.25" customHeight="1">
      <c r="D772" s="3"/>
    </row>
    <row r="773" ht="14.25" customHeight="1">
      <c r="D773" s="3"/>
    </row>
    <row r="774" ht="14.25" customHeight="1">
      <c r="D774" s="3"/>
    </row>
    <row r="775" ht="14.25" customHeight="1">
      <c r="D775" s="3"/>
    </row>
    <row r="776" ht="14.25" customHeight="1">
      <c r="D776" s="3"/>
    </row>
    <row r="777" ht="14.25" customHeight="1">
      <c r="D777" s="3"/>
    </row>
    <row r="778" ht="14.25" customHeight="1">
      <c r="D778" s="3"/>
    </row>
    <row r="779" ht="14.25" customHeight="1">
      <c r="D779" s="3"/>
    </row>
    <row r="780" ht="14.25" customHeight="1">
      <c r="D780" s="3"/>
    </row>
    <row r="781" ht="14.25" customHeight="1">
      <c r="D781" s="3"/>
    </row>
    <row r="782" ht="14.25" customHeight="1">
      <c r="D782" s="3"/>
    </row>
    <row r="783" ht="14.25" customHeight="1">
      <c r="D783" s="3"/>
    </row>
    <row r="784" ht="14.25" customHeight="1">
      <c r="D784" s="3"/>
    </row>
    <row r="785" ht="14.25" customHeight="1">
      <c r="D785" s="3"/>
    </row>
    <row r="786" ht="14.25" customHeight="1">
      <c r="D786" s="3"/>
    </row>
    <row r="787" ht="14.25" customHeight="1">
      <c r="D787" s="3"/>
    </row>
    <row r="788" ht="14.25" customHeight="1">
      <c r="D788" s="3"/>
    </row>
    <row r="789" ht="14.25" customHeight="1">
      <c r="D789" s="3"/>
    </row>
    <row r="790" ht="14.25" customHeight="1">
      <c r="D790" s="3"/>
    </row>
    <row r="791" ht="14.25" customHeight="1">
      <c r="D791" s="3"/>
    </row>
    <row r="792" ht="14.25" customHeight="1">
      <c r="D792" s="3"/>
    </row>
    <row r="793" ht="14.25" customHeight="1">
      <c r="D793" s="3"/>
    </row>
    <row r="794" ht="14.25" customHeight="1">
      <c r="D794" s="3"/>
    </row>
    <row r="795" ht="14.25" customHeight="1">
      <c r="D795" s="3"/>
    </row>
    <row r="796" ht="14.25" customHeight="1">
      <c r="D796" s="3"/>
    </row>
    <row r="797" ht="14.25" customHeight="1">
      <c r="D797" s="3"/>
    </row>
    <row r="798" ht="14.25" customHeight="1">
      <c r="D798" s="3"/>
    </row>
    <row r="799" ht="14.25" customHeight="1">
      <c r="D799" s="3"/>
    </row>
    <row r="800" ht="14.25" customHeight="1">
      <c r="D800" s="3"/>
    </row>
    <row r="801" ht="14.25" customHeight="1">
      <c r="D801" s="3"/>
    </row>
    <row r="802" ht="14.25" customHeight="1">
      <c r="D802" s="3"/>
    </row>
    <row r="803" ht="14.25" customHeight="1">
      <c r="D803" s="3"/>
    </row>
    <row r="804" ht="14.25" customHeight="1">
      <c r="D804" s="3"/>
    </row>
    <row r="805" ht="14.25" customHeight="1">
      <c r="D805" s="3"/>
    </row>
    <row r="806" ht="14.25" customHeight="1">
      <c r="D806" s="3"/>
    </row>
    <row r="807" ht="14.25" customHeight="1">
      <c r="D807" s="3"/>
    </row>
    <row r="808" ht="14.25" customHeight="1">
      <c r="D808" s="3"/>
    </row>
    <row r="809" ht="14.25" customHeight="1">
      <c r="D809" s="3"/>
    </row>
    <row r="810" ht="14.25" customHeight="1">
      <c r="D810" s="3"/>
    </row>
    <row r="811" ht="14.25" customHeight="1">
      <c r="D811" s="3"/>
    </row>
    <row r="812" ht="14.25" customHeight="1">
      <c r="D812" s="3"/>
    </row>
    <row r="813" ht="14.25" customHeight="1">
      <c r="D813" s="3"/>
    </row>
    <row r="814" ht="14.25" customHeight="1">
      <c r="D814" s="3"/>
    </row>
    <row r="815" ht="14.25" customHeight="1">
      <c r="D815" s="3"/>
    </row>
    <row r="816" ht="14.25" customHeight="1">
      <c r="D816" s="3"/>
    </row>
    <row r="817" ht="14.25" customHeight="1">
      <c r="D817" s="3"/>
    </row>
    <row r="818" ht="14.25" customHeight="1">
      <c r="D818" s="3"/>
    </row>
    <row r="819" ht="14.25" customHeight="1">
      <c r="D819" s="3"/>
    </row>
    <row r="820" ht="14.25" customHeight="1">
      <c r="D820" s="3"/>
    </row>
    <row r="821" ht="14.25" customHeight="1">
      <c r="D821" s="3"/>
    </row>
    <row r="822" ht="14.25" customHeight="1">
      <c r="D822" s="3"/>
    </row>
    <row r="823" ht="14.25" customHeight="1">
      <c r="D823" s="3"/>
    </row>
    <row r="824" ht="14.25" customHeight="1">
      <c r="D824" s="3"/>
    </row>
    <row r="825" ht="14.25" customHeight="1">
      <c r="D825" s="3"/>
    </row>
    <row r="826" ht="14.25" customHeight="1">
      <c r="D826" s="3"/>
    </row>
    <row r="827" ht="14.25" customHeight="1">
      <c r="D827" s="3"/>
    </row>
    <row r="828" ht="14.25" customHeight="1">
      <c r="D828" s="3"/>
    </row>
    <row r="829" ht="14.25" customHeight="1">
      <c r="D829" s="3"/>
    </row>
    <row r="830" ht="14.25" customHeight="1">
      <c r="D830" s="3"/>
    </row>
    <row r="831" ht="14.25" customHeight="1">
      <c r="D831" s="3"/>
    </row>
    <row r="832" ht="14.25" customHeight="1">
      <c r="D832" s="3"/>
    </row>
    <row r="833" ht="14.25" customHeight="1">
      <c r="D833" s="3"/>
    </row>
    <row r="834" ht="14.25" customHeight="1">
      <c r="D834" s="3"/>
    </row>
    <row r="835" ht="14.25" customHeight="1">
      <c r="D835" s="3"/>
    </row>
    <row r="836" ht="14.25" customHeight="1">
      <c r="D836" s="3"/>
    </row>
    <row r="837" ht="14.25" customHeight="1">
      <c r="D837" s="3"/>
    </row>
    <row r="838" ht="14.25" customHeight="1">
      <c r="D838" s="3"/>
    </row>
    <row r="839" ht="14.25" customHeight="1">
      <c r="D839" s="3"/>
    </row>
    <row r="840" ht="14.25" customHeight="1">
      <c r="D840" s="3"/>
    </row>
    <row r="841" ht="14.25" customHeight="1">
      <c r="D841" s="3"/>
    </row>
    <row r="842" ht="14.25" customHeight="1">
      <c r="D842" s="3"/>
    </row>
    <row r="843" ht="14.25" customHeight="1">
      <c r="D843" s="3"/>
    </row>
    <row r="844" ht="14.25" customHeight="1">
      <c r="D844" s="3"/>
    </row>
    <row r="845" ht="14.25" customHeight="1">
      <c r="D845" s="3"/>
    </row>
    <row r="846" ht="14.25" customHeight="1">
      <c r="D846" s="3"/>
    </row>
    <row r="847" ht="14.25" customHeight="1">
      <c r="D847" s="3"/>
    </row>
    <row r="848" ht="14.25" customHeight="1">
      <c r="D848" s="3"/>
    </row>
    <row r="849" ht="14.25" customHeight="1">
      <c r="D849" s="3"/>
    </row>
    <row r="850" ht="14.25" customHeight="1">
      <c r="D850" s="3"/>
    </row>
    <row r="851" ht="14.25" customHeight="1">
      <c r="D851" s="3"/>
    </row>
    <row r="852" ht="14.25" customHeight="1">
      <c r="D852" s="3"/>
    </row>
    <row r="853" ht="14.25" customHeight="1">
      <c r="D853" s="3"/>
    </row>
    <row r="854" ht="14.25" customHeight="1">
      <c r="D854" s="3"/>
    </row>
    <row r="855" ht="14.25" customHeight="1">
      <c r="D855" s="3"/>
    </row>
    <row r="856" ht="14.25" customHeight="1">
      <c r="D856" s="3"/>
    </row>
    <row r="857" ht="14.25" customHeight="1">
      <c r="D857" s="3"/>
    </row>
    <row r="858" ht="14.25" customHeight="1">
      <c r="D858" s="3"/>
    </row>
    <row r="859" ht="14.25" customHeight="1">
      <c r="D859" s="3"/>
    </row>
    <row r="860" ht="14.25" customHeight="1">
      <c r="D860" s="3"/>
    </row>
    <row r="861" ht="14.25" customHeight="1">
      <c r="D861" s="3"/>
    </row>
    <row r="862" ht="14.25" customHeight="1">
      <c r="D862" s="3"/>
    </row>
    <row r="863" ht="14.25" customHeight="1">
      <c r="D863" s="3"/>
    </row>
    <row r="864" ht="14.25" customHeight="1">
      <c r="D864" s="3"/>
    </row>
    <row r="865" ht="14.25" customHeight="1">
      <c r="D865" s="3"/>
    </row>
    <row r="866" ht="14.25" customHeight="1">
      <c r="D866" s="3"/>
    </row>
    <row r="867" ht="14.25" customHeight="1">
      <c r="D867" s="3"/>
    </row>
    <row r="868" ht="14.25" customHeight="1">
      <c r="D868" s="3"/>
    </row>
    <row r="869" ht="14.25" customHeight="1">
      <c r="D869" s="3"/>
    </row>
    <row r="870" ht="14.25" customHeight="1">
      <c r="D870" s="3"/>
    </row>
    <row r="871" ht="14.25" customHeight="1">
      <c r="D871" s="3"/>
    </row>
    <row r="872" ht="14.25" customHeight="1">
      <c r="D872" s="3"/>
    </row>
    <row r="873" ht="14.25" customHeight="1">
      <c r="D873" s="3"/>
    </row>
    <row r="874" ht="14.25" customHeight="1">
      <c r="D874" s="3"/>
    </row>
    <row r="875" ht="14.25" customHeight="1">
      <c r="D875" s="3"/>
    </row>
    <row r="876" ht="14.25" customHeight="1">
      <c r="D876" s="3"/>
    </row>
    <row r="877" ht="14.25" customHeight="1">
      <c r="D877" s="3"/>
    </row>
    <row r="878" ht="14.25" customHeight="1">
      <c r="D878" s="3"/>
    </row>
    <row r="879" ht="14.25" customHeight="1">
      <c r="D879" s="3"/>
    </row>
    <row r="880" ht="14.25" customHeight="1">
      <c r="D880" s="3"/>
    </row>
    <row r="881" ht="14.25" customHeight="1">
      <c r="D881" s="3"/>
    </row>
    <row r="882" ht="14.25" customHeight="1">
      <c r="D882" s="3"/>
    </row>
    <row r="883" ht="14.25" customHeight="1">
      <c r="D883" s="3"/>
    </row>
    <row r="884" ht="14.25" customHeight="1">
      <c r="D884" s="3"/>
    </row>
    <row r="885" ht="14.25" customHeight="1">
      <c r="D885" s="3"/>
    </row>
    <row r="886" ht="14.25" customHeight="1">
      <c r="D886" s="3"/>
    </row>
    <row r="887" ht="14.25" customHeight="1">
      <c r="D887" s="3"/>
    </row>
    <row r="888" ht="14.25" customHeight="1">
      <c r="D888" s="3"/>
    </row>
    <row r="889" ht="14.25" customHeight="1">
      <c r="D889" s="3"/>
    </row>
    <row r="890" ht="14.25" customHeight="1">
      <c r="D890" s="3"/>
    </row>
    <row r="891" ht="14.25" customHeight="1">
      <c r="D891" s="3"/>
    </row>
    <row r="892" ht="14.25" customHeight="1">
      <c r="D892" s="3"/>
    </row>
    <row r="893" ht="14.25" customHeight="1">
      <c r="D893" s="3"/>
    </row>
    <row r="894" ht="14.25" customHeight="1">
      <c r="D894" s="3"/>
    </row>
    <row r="895" ht="14.25" customHeight="1">
      <c r="D895" s="3"/>
    </row>
    <row r="896" ht="14.25" customHeight="1">
      <c r="D896" s="3"/>
    </row>
    <row r="897" ht="14.25" customHeight="1">
      <c r="D897" s="3"/>
    </row>
    <row r="898" ht="14.25" customHeight="1">
      <c r="D898" s="3"/>
    </row>
    <row r="899" ht="14.25" customHeight="1">
      <c r="D899" s="3"/>
    </row>
    <row r="900" ht="14.25" customHeight="1">
      <c r="D900" s="3"/>
    </row>
    <row r="901" ht="14.25" customHeight="1">
      <c r="D901" s="3"/>
    </row>
    <row r="902" ht="14.25" customHeight="1">
      <c r="D902" s="3"/>
    </row>
    <row r="903" ht="14.25" customHeight="1">
      <c r="D903" s="3"/>
    </row>
    <row r="904" ht="14.25" customHeight="1">
      <c r="D904" s="3"/>
    </row>
    <row r="905" ht="14.25" customHeight="1">
      <c r="D905" s="3"/>
    </row>
    <row r="906" ht="14.25" customHeight="1">
      <c r="D906" s="3"/>
    </row>
    <row r="907" ht="14.25" customHeight="1">
      <c r="D907" s="3"/>
    </row>
    <row r="908" ht="14.25" customHeight="1">
      <c r="D908" s="3"/>
    </row>
    <row r="909" ht="14.25" customHeight="1">
      <c r="D909" s="3"/>
    </row>
    <row r="910" ht="14.25" customHeight="1">
      <c r="D910" s="3"/>
    </row>
    <row r="911" ht="14.25" customHeight="1">
      <c r="D911" s="3"/>
    </row>
    <row r="912" ht="14.25" customHeight="1">
      <c r="D912" s="3"/>
    </row>
    <row r="913" ht="14.25" customHeight="1">
      <c r="D913" s="3"/>
    </row>
    <row r="914" ht="14.25" customHeight="1">
      <c r="D914" s="3"/>
    </row>
    <row r="915" ht="14.25" customHeight="1">
      <c r="D915" s="3"/>
    </row>
    <row r="916" ht="14.25" customHeight="1">
      <c r="D916" s="3"/>
    </row>
    <row r="917" ht="14.25" customHeight="1">
      <c r="D917" s="3"/>
    </row>
    <row r="918" ht="14.25" customHeight="1">
      <c r="D918" s="3"/>
    </row>
    <row r="919" ht="14.25" customHeight="1">
      <c r="D919" s="3"/>
    </row>
    <row r="920" ht="14.25" customHeight="1">
      <c r="D920" s="3"/>
    </row>
    <row r="921" ht="14.25" customHeight="1">
      <c r="D921" s="3"/>
    </row>
    <row r="922" ht="14.25" customHeight="1">
      <c r="D922" s="3"/>
    </row>
    <row r="923" ht="14.25" customHeight="1">
      <c r="D923" s="3"/>
    </row>
    <row r="924" ht="14.25" customHeight="1">
      <c r="D924" s="3"/>
    </row>
    <row r="925" ht="14.25" customHeight="1">
      <c r="D925" s="3"/>
    </row>
    <row r="926" ht="14.25" customHeight="1">
      <c r="D926" s="3"/>
    </row>
    <row r="927" ht="14.25" customHeight="1">
      <c r="D927" s="3"/>
    </row>
    <row r="928" ht="14.25" customHeight="1">
      <c r="D928" s="3"/>
    </row>
    <row r="929" ht="14.25" customHeight="1">
      <c r="D929" s="3"/>
    </row>
    <row r="930" ht="14.25" customHeight="1">
      <c r="D930" s="3"/>
    </row>
    <row r="931" ht="14.25" customHeight="1">
      <c r="D931" s="3"/>
    </row>
    <row r="932" ht="14.25" customHeight="1">
      <c r="D932" s="3"/>
    </row>
    <row r="933" ht="14.25" customHeight="1">
      <c r="D933" s="3"/>
    </row>
    <row r="934" ht="14.25" customHeight="1">
      <c r="D934" s="3"/>
    </row>
    <row r="935" ht="14.25" customHeight="1">
      <c r="D935" s="3"/>
    </row>
    <row r="936" ht="14.25" customHeight="1">
      <c r="D936" s="3"/>
    </row>
    <row r="937" ht="14.25" customHeight="1">
      <c r="D937" s="3"/>
    </row>
    <row r="938" ht="14.25" customHeight="1">
      <c r="D938" s="3"/>
    </row>
    <row r="939" ht="14.25" customHeight="1">
      <c r="D939" s="3"/>
    </row>
    <row r="940" ht="14.25" customHeight="1">
      <c r="D940" s="3"/>
    </row>
    <row r="941" ht="14.25" customHeight="1">
      <c r="D941" s="3"/>
    </row>
    <row r="942" ht="14.25" customHeight="1">
      <c r="D942" s="3"/>
    </row>
    <row r="943" ht="14.25" customHeight="1">
      <c r="D943" s="3"/>
    </row>
    <row r="944" ht="14.25" customHeight="1">
      <c r="D944" s="3"/>
    </row>
    <row r="945" ht="14.25" customHeight="1">
      <c r="D945" s="3"/>
    </row>
    <row r="946" ht="14.25" customHeight="1">
      <c r="D946" s="3"/>
    </row>
    <row r="947" ht="14.25" customHeight="1">
      <c r="D947" s="3"/>
    </row>
    <row r="948" ht="14.25" customHeight="1">
      <c r="D948" s="3"/>
    </row>
    <row r="949" ht="14.25" customHeight="1">
      <c r="D949" s="3"/>
    </row>
    <row r="950" ht="14.25" customHeight="1">
      <c r="D950" s="3"/>
    </row>
    <row r="951" ht="14.25" customHeight="1">
      <c r="D951" s="3"/>
    </row>
    <row r="952" ht="14.25" customHeight="1">
      <c r="D952" s="3"/>
    </row>
    <row r="953" ht="14.25" customHeight="1">
      <c r="D953" s="3"/>
    </row>
    <row r="954" ht="14.25" customHeight="1">
      <c r="D954" s="3"/>
    </row>
    <row r="955" ht="14.25" customHeight="1">
      <c r="D955" s="3"/>
    </row>
    <row r="956" ht="14.25" customHeight="1">
      <c r="D956" s="3"/>
    </row>
    <row r="957" ht="14.25" customHeight="1">
      <c r="D957" s="3"/>
    </row>
    <row r="958" ht="14.25" customHeight="1">
      <c r="D958" s="3"/>
    </row>
    <row r="959" ht="14.25" customHeight="1">
      <c r="D959" s="3"/>
    </row>
    <row r="960" ht="14.25" customHeight="1">
      <c r="D960" s="3"/>
    </row>
    <row r="961" ht="14.25" customHeight="1">
      <c r="D961" s="3"/>
    </row>
    <row r="962" ht="14.25" customHeight="1">
      <c r="D962" s="3"/>
    </row>
    <row r="963" ht="14.25" customHeight="1">
      <c r="D963" s="3"/>
    </row>
    <row r="964" ht="14.25" customHeight="1">
      <c r="D964" s="3"/>
    </row>
    <row r="965" ht="14.25" customHeight="1">
      <c r="D965" s="3"/>
    </row>
    <row r="966" ht="14.25" customHeight="1">
      <c r="D966" s="3"/>
    </row>
    <row r="967" ht="14.25" customHeight="1">
      <c r="D967" s="3"/>
    </row>
    <row r="968" ht="14.25" customHeight="1">
      <c r="D968" s="3"/>
    </row>
    <row r="969" ht="14.25" customHeight="1">
      <c r="D969" s="3"/>
    </row>
    <row r="970" ht="14.25" customHeight="1">
      <c r="D970" s="3"/>
    </row>
    <row r="971" ht="14.25" customHeight="1">
      <c r="D971" s="3"/>
    </row>
    <row r="972" ht="14.25" customHeight="1">
      <c r="D972" s="3"/>
    </row>
    <row r="973" ht="14.25" customHeight="1">
      <c r="D973" s="3"/>
    </row>
    <row r="974" ht="14.25" customHeight="1">
      <c r="D974" s="3"/>
    </row>
    <row r="975" ht="14.25" customHeight="1">
      <c r="D975" s="3"/>
    </row>
    <row r="976" ht="14.25" customHeight="1">
      <c r="D976" s="3"/>
    </row>
    <row r="977" ht="14.25" customHeight="1">
      <c r="D977" s="3"/>
    </row>
    <row r="978" ht="14.25" customHeight="1">
      <c r="D978" s="3"/>
    </row>
    <row r="979" ht="14.25" customHeight="1">
      <c r="D979" s="3"/>
    </row>
    <row r="980" ht="14.25" customHeight="1">
      <c r="D980" s="3"/>
    </row>
    <row r="981" ht="14.25" customHeight="1">
      <c r="D981" s="3"/>
    </row>
    <row r="982" ht="14.25" customHeight="1">
      <c r="D982" s="3"/>
    </row>
    <row r="983" ht="14.25" customHeight="1">
      <c r="D983" s="3"/>
    </row>
    <row r="984" ht="14.25" customHeight="1">
      <c r="D984" s="3"/>
    </row>
    <row r="985" ht="14.25" customHeight="1">
      <c r="D985" s="3"/>
    </row>
    <row r="986" ht="14.25" customHeight="1">
      <c r="D986" s="3"/>
    </row>
    <row r="987" ht="14.25" customHeight="1">
      <c r="D987" s="3"/>
    </row>
    <row r="988" ht="14.25" customHeight="1">
      <c r="D988" s="3"/>
    </row>
    <row r="989" ht="14.25" customHeight="1">
      <c r="D989" s="3"/>
    </row>
    <row r="990" ht="14.25" customHeight="1">
      <c r="D990" s="3"/>
    </row>
    <row r="991" ht="14.25" customHeight="1">
      <c r="D991" s="3"/>
    </row>
    <row r="992" ht="14.25" customHeight="1">
      <c r="D992" s="3"/>
    </row>
    <row r="993" ht="14.25" customHeight="1">
      <c r="D993" s="3"/>
    </row>
    <row r="994" ht="14.25" customHeight="1">
      <c r="D994" s="3"/>
    </row>
    <row r="995" ht="14.25" customHeight="1">
      <c r="D995" s="3"/>
    </row>
    <row r="996" ht="14.25" customHeight="1">
      <c r="D996" s="3"/>
    </row>
    <row r="997" ht="14.25" customHeight="1">
      <c r="D997" s="3"/>
    </row>
    <row r="998" ht="14.25" customHeight="1">
      <c r="D998" s="3"/>
    </row>
    <row r="999" ht="14.25" customHeight="1">
      <c r="D999" s="3"/>
    </row>
    <row r="1000" ht="14.25" customHeight="1">
      <c r="D1000" s="3"/>
    </row>
    <row r="1001" ht="14.25" customHeight="1">
      <c r="D1001" s="3"/>
    </row>
  </sheetData>
  <mergeCells count="2">
    <mergeCell ref="O1:Q1"/>
    <mergeCell ref="R1:U1"/>
  </mergeCells>
  <hyperlinks>
    <hyperlink r:id="rId1" ref="H3"/>
    <hyperlink r:id="rId2" ref="Y3"/>
    <hyperlink r:id="rId3" ref="H4"/>
    <hyperlink r:id="rId4" ref="Y4"/>
    <hyperlink r:id="rId5" ref="Y5"/>
    <hyperlink r:id="rId6" ref="H6"/>
    <hyperlink r:id="rId7" ref="W6"/>
    <hyperlink r:id="rId8" ref="H7"/>
    <hyperlink r:id="rId9" ref="W7"/>
    <hyperlink r:id="rId10" ref="Y7"/>
    <hyperlink r:id="rId11" ref="W8"/>
    <hyperlink r:id="rId12" ref="H9"/>
    <hyperlink r:id="rId13" ref="W9"/>
    <hyperlink r:id="rId14" ref="H10"/>
    <hyperlink r:id="rId15" ref="Y10"/>
    <hyperlink r:id="rId16" ref="H11"/>
    <hyperlink r:id="rId17" ref="H13"/>
    <hyperlink r:id="rId18" ref="W13"/>
    <hyperlink r:id="rId19" ref="H16"/>
    <hyperlink r:id="rId20" ref="H17"/>
    <hyperlink r:id="rId21" ref="H19"/>
    <hyperlink r:id="rId22" ref="W19"/>
    <hyperlink r:id="rId23" ref="Y19"/>
    <hyperlink r:id="rId24" ref="H20"/>
    <hyperlink r:id="rId25" ref="H21"/>
    <hyperlink r:id="rId26" ref="H23"/>
    <hyperlink r:id="rId27" ref="W23"/>
    <hyperlink r:id="rId28" ref="H25"/>
    <hyperlink r:id="rId29" ref="W25"/>
    <hyperlink r:id="rId30" ref="H26"/>
    <hyperlink r:id="rId31" ref="H27"/>
    <hyperlink r:id="rId32" ref="W27"/>
    <hyperlink r:id="rId33" ref="H28"/>
    <hyperlink r:id="rId34" location="gid=1121030019" ref="W28"/>
    <hyperlink r:id="rId35" ref="H29"/>
    <hyperlink r:id="rId36" ref="W29"/>
    <hyperlink r:id="rId37" ref="H31"/>
    <hyperlink r:id="rId38" ref="Y33"/>
    <hyperlink r:id="rId39" ref="H34"/>
    <hyperlink r:id="rId40" ref="H35"/>
    <hyperlink r:id="rId41" ref="W35"/>
    <hyperlink r:id="rId42" ref="Y37"/>
    <hyperlink r:id="rId43" ref="H39"/>
    <hyperlink r:id="rId44" ref="X39"/>
    <hyperlink r:id="rId45" ref="Y39"/>
    <hyperlink r:id="rId46" ref="H40"/>
    <hyperlink r:id="rId47" ref="W40"/>
    <hyperlink r:id="rId48" ref="X40"/>
    <hyperlink r:id="rId49" ref="H41"/>
    <hyperlink r:id="rId50" ref="W41"/>
    <hyperlink r:id="rId51" ref="Y41"/>
    <hyperlink r:id="rId52" ref="H42"/>
    <hyperlink r:id="rId53" ref="W42"/>
    <hyperlink r:id="rId54" ref="X42"/>
    <hyperlink r:id="rId55" ref="H43"/>
    <hyperlink r:id="rId56" ref="H44"/>
    <hyperlink r:id="rId57" ref="W44"/>
    <hyperlink r:id="rId58" ref="H46"/>
    <hyperlink r:id="rId59" ref="W46"/>
    <hyperlink r:id="rId60" ref="X46"/>
    <hyperlink r:id="rId61" ref="Y49"/>
    <hyperlink r:id="rId62" ref="H50"/>
    <hyperlink r:id="rId63" ref="X50"/>
    <hyperlink r:id="rId64" ref="H51"/>
    <hyperlink r:id="rId65" ref="W51"/>
    <hyperlink r:id="rId66" ref="H53"/>
    <hyperlink r:id="rId67" ref="X53"/>
    <hyperlink r:id="rId68" ref="X57"/>
    <hyperlink r:id="rId69" ref="H58"/>
    <hyperlink r:id="rId70" ref="X58"/>
    <hyperlink r:id="rId71" ref="H60"/>
    <hyperlink r:id="rId72" ref="W60"/>
    <hyperlink r:id="rId73" ref="X60"/>
    <hyperlink r:id="rId74" ref="H61"/>
    <hyperlink r:id="rId75" ref="W61"/>
    <hyperlink r:id="rId76" ref="H63"/>
    <hyperlink r:id="rId77" ref="H64"/>
    <hyperlink r:id="rId78" ref="W64"/>
    <hyperlink r:id="rId79" ref="Y64"/>
    <hyperlink r:id="rId80" ref="H68"/>
    <hyperlink r:id="rId81" ref="H70"/>
    <hyperlink r:id="rId82" ref="X70"/>
    <hyperlink r:id="rId83" ref="H71"/>
    <hyperlink r:id="rId84" ref="W71"/>
    <hyperlink r:id="rId85" ref="X71"/>
    <hyperlink r:id="rId86" ref="H72"/>
    <hyperlink r:id="rId87" ref="W72"/>
    <hyperlink r:id="rId88" ref="X72"/>
    <hyperlink r:id="rId89" ref="H73"/>
    <hyperlink r:id="rId90" ref="X73"/>
    <hyperlink r:id="rId91" ref="H74"/>
    <hyperlink r:id="rId92" ref="W74"/>
    <hyperlink r:id="rId93" ref="X74"/>
    <hyperlink r:id="rId94" ref="H77"/>
    <hyperlink r:id="rId95" ref="W77"/>
    <hyperlink r:id="rId96" ref="H79"/>
    <hyperlink r:id="rId97" ref="W79"/>
    <hyperlink r:id="rId98" ref="X79"/>
    <hyperlink r:id="rId99" ref="H83"/>
    <hyperlink r:id="rId100" ref="W83"/>
    <hyperlink r:id="rId101" ref="H84"/>
    <hyperlink r:id="rId102" ref="W84"/>
    <hyperlink r:id="rId103" ref="H85"/>
    <hyperlink r:id="rId104" ref="H86"/>
    <hyperlink r:id="rId105" ref="X86"/>
    <hyperlink r:id="rId106" ref="H88"/>
    <hyperlink r:id="rId107" ref="H95"/>
    <hyperlink r:id="rId108" ref="X95"/>
    <hyperlink r:id="rId109" ref="H97"/>
    <hyperlink r:id="rId110" ref="X97"/>
    <hyperlink r:id="rId111" ref="H99"/>
    <hyperlink r:id="rId112" ref="H100"/>
    <hyperlink r:id="rId113" ref="Y100"/>
    <hyperlink r:id="rId114" ref="H101"/>
    <hyperlink r:id="rId115" ref="Y101"/>
    <hyperlink r:id="rId116" ref="Y102"/>
    <hyperlink r:id="rId117" ref="H105"/>
    <hyperlink r:id="rId118" ref="H107"/>
    <hyperlink r:id="rId119" ref="H111"/>
    <hyperlink r:id="rId120" ref="H113"/>
    <hyperlink r:id="rId121" ref="H114"/>
    <hyperlink r:id="rId122" ref="H115"/>
    <hyperlink r:id="rId123" ref="X115"/>
    <hyperlink r:id="rId124" ref="H126"/>
    <hyperlink r:id="rId125" ref="H132"/>
    <hyperlink r:id="rId126" ref="H133"/>
    <hyperlink r:id="rId127" ref="H134"/>
    <hyperlink r:id="rId128" ref="H139"/>
    <hyperlink r:id="rId129" ref="H142"/>
    <hyperlink r:id="rId130" ref="H147"/>
    <hyperlink r:id="rId131" ref="X147"/>
    <hyperlink r:id="rId132" ref="H148"/>
    <hyperlink r:id="rId133" ref="H149"/>
    <hyperlink r:id="rId134" ref="H151"/>
    <hyperlink r:id="rId135" ref="H152"/>
    <hyperlink r:id="rId136" ref="X152"/>
    <hyperlink r:id="rId137" ref="H157"/>
    <hyperlink r:id="rId138" ref="H160"/>
    <hyperlink r:id="rId139" ref="H161"/>
    <hyperlink r:id="rId140" ref="H162"/>
    <hyperlink r:id="rId141" ref="H163"/>
    <hyperlink r:id="rId142" ref="H166"/>
    <hyperlink r:id="rId143" ref="H171"/>
    <hyperlink r:id="rId144" ref="H174"/>
    <hyperlink r:id="rId145" ref="H175"/>
    <hyperlink r:id="rId146" ref="H179"/>
    <hyperlink r:id="rId147" ref="X179"/>
    <hyperlink r:id="rId148" ref="H180"/>
    <hyperlink r:id="rId149" ref="X180"/>
    <hyperlink r:id="rId150" ref="H182"/>
    <hyperlink r:id="rId151" ref="X182"/>
    <hyperlink r:id="rId152" ref="H186"/>
    <hyperlink r:id="rId153" ref="H188"/>
    <hyperlink r:id="rId154" ref="X188"/>
    <hyperlink r:id="rId155" ref="H190"/>
    <hyperlink r:id="rId156" ref="H191"/>
    <hyperlink r:id="rId157" ref="H194"/>
    <hyperlink r:id="rId158" ref="X194"/>
    <hyperlink r:id="rId159" ref="H196"/>
    <hyperlink r:id="rId160" ref="X196"/>
    <hyperlink r:id="rId161" ref="H198"/>
    <hyperlink r:id="rId162" ref="H202"/>
    <hyperlink r:id="rId163" ref="W208"/>
    <hyperlink r:id="rId164" ref="W209"/>
    <hyperlink r:id="rId165" ref="X209"/>
    <hyperlink r:id="rId166" ref="H210"/>
    <hyperlink r:id="rId167" ref="X210"/>
    <hyperlink r:id="rId168" ref="H213"/>
  </hyperlinks>
  <drawing r:id="rId16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4.0"/>
    <col customWidth="1" min="2" max="2" width="22.38"/>
    <col customWidth="1" min="3" max="3" width="16.63"/>
    <col customWidth="1" min="4" max="4" width="26.0"/>
    <col customWidth="1" min="5" max="5" width="19.25"/>
    <col customWidth="1" min="6" max="6" width="16.63"/>
    <col customWidth="1" min="7" max="8" width="32.38"/>
    <col customWidth="1" min="9" max="9" width="27.63"/>
    <col customWidth="1" min="10" max="10" width="23.25"/>
  </cols>
  <sheetData>
    <row r="1">
      <c r="A1" s="1" t="s">
        <v>1</v>
      </c>
      <c r="B1" s="32" t="s">
        <v>3</v>
      </c>
      <c r="C1" s="33" t="s">
        <v>6</v>
      </c>
      <c r="D1" s="1" t="s">
        <v>9</v>
      </c>
      <c r="E1" s="24" t="s">
        <v>740</v>
      </c>
      <c r="F1" s="24" t="s">
        <v>741</v>
      </c>
      <c r="G1" s="24" t="s">
        <v>742</v>
      </c>
      <c r="H1" s="24" t="s">
        <v>743</v>
      </c>
      <c r="I1" s="24" t="s">
        <v>744</v>
      </c>
      <c r="J1" s="24" t="s">
        <v>745</v>
      </c>
    </row>
    <row r="2">
      <c r="A2" s="34" t="s">
        <v>15</v>
      </c>
      <c r="B2" s="35">
        <v>2.562E11</v>
      </c>
      <c r="C2" s="35">
        <f>VLOOKUP(A2,Calculations!$B$3:$K$216,10,FALSE)</f>
        <v>101500000</v>
      </c>
      <c r="D2" s="34"/>
      <c r="E2" s="36">
        <v>1.015E8</v>
      </c>
      <c r="F2" s="37">
        <f t="shared" ref="F2:F214" si="1">IF(E2="","",E2/B2)</f>
        <v>0.0003961748634</v>
      </c>
      <c r="G2" s="36">
        <f>IF(F2="",B2*Summary!$C$22,E2)</f>
        <v>101500000</v>
      </c>
      <c r="H2" s="34">
        <f t="shared" ref="H2:H215" si="2">IF(E2&gt;0,1,0)</f>
        <v>1</v>
      </c>
      <c r="I2" s="34">
        <f t="shared" ref="I2:I215" si="3">IF(AND(C2&gt;0, D2=0), 1, 0)
</f>
        <v>1</v>
      </c>
      <c r="J2" s="34">
        <f t="shared" ref="J2:J215" si="4">IF(D2&gt;0,1,0)
</f>
        <v>0</v>
      </c>
    </row>
    <row r="3">
      <c r="A3" s="34" t="s">
        <v>22</v>
      </c>
      <c r="B3" s="35">
        <v>2.461E11</v>
      </c>
      <c r="C3" s="35">
        <v>4.5E7</v>
      </c>
      <c r="D3" s="34"/>
      <c r="E3" s="38">
        <v>4.5E7</v>
      </c>
      <c r="F3" s="37">
        <f t="shared" si="1"/>
        <v>0.000182852499</v>
      </c>
      <c r="G3" s="36">
        <f>IF(F3="",B3*Summary!$C$22,E3)</f>
        <v>45000000</v>
      </c>
      <c r="H3" s="34">
        <f t="shared" si="2"/>
        <v>1</v>
      </c>
      <c r="I3" s="34">
        <f t="shared" si="3"/>
        <v>1</v>
      </c>
      <c r="J3" s="34">
        <f t="shared" si="4"/>
        <v>0</v>
      </c>
    </row>
    <row r="4">
      <c r="A4" s="34" t="s">
        <v>28</v>
      </c>
      <c r="B4" s="35">
        <v>2.364E11</v>
      </c>
      <c r="C4" s="35">
        <v>3.5E7</v>
      </c>
      <c r="D4" s="34"/>
      <c r="E4" s="36">
        <v>3.5E7</v>
      </c>
      <c r="F4" s="37">
        <f t="shared" si="1"/>
        <v>0.0001480541455</v>
      </c>
      <c r="G4" s="36">
        <f>IF(F4="",B4*Summary!$C$22,E4)</f>
        <v>35000000</v>
      </c>
      <c r="H4" s="34">
        <f t="shared" si="2"/>
        <v>1</v>
      </c>
      <c r="I4" s="34">
        <f t="shared" si="3"/>
        <v>1</v>
      </c>
      <c r="J4" s="34">
        <f t="shared" si="4"/>
        <v>0</v>
      </c>
    </row>
    <row r="5">
      <c r="A5" s="34" t="s">
        <v>32</v>
      </c>
      <c r="B5" s="35">
        <v>2.251E11</v>
      </c>
      <c r="C5" s="35">
        <v>1.12E8</v>
      </c>
      <c r="D5" s="36">
        <v>3.0E8</v>
      </c>
      <c r="E5" s="36">
        <v>3.0E8</v>
      </c>
      <c r="F5" s="37">
        <f t="shared" si="1"/>
        <v>0.001332741004</v>
      </c>
      <c r="G5" s="36">
        <f>IF(F5="",B5*Summary!$C$22,E5)</f>
        <v>300000000</v>
      </c>
      <c r="H5" s="34">
        <f t="shared" si="2"/>
        <v>1</v>
      </c>
      <c r="I5" s="34">
        <f t="shared" si="3"/>
        <v>0</v>
      </c>
      <c r="J5" s="34">
        <f t="shared" si="4"/>
        <v>1</v>
      </c>
    </row>
    <row r="6">
      <c r="A6" s="34" t="s">
        <v>39</v>
      </c>
      <c r="B6" s="35">
        <v>1.626E11</v>
      </c>
      <c r="C6" s="35">
        <v>6900000.0</v>
      </c>
      <c r="D6" s="36">
        <v>5.24E7</v>
      </c>
      <c r="E6" s="36">
        <v>5.24E7</v>
      </c>
      <c r="F6" s="37">
        <f t="shared" si="1"/>
        <v>0.0003222632226</v>
      </c>
      <c r="G6" s="36">
        <f>IF(F6="",B6*Summary!$C$22,E6)</f>
        <v>52400000</v>
      </c>
      <c r="H6" s="34">
        <f t="shared" si="2"/>
        <v>1</v>
      </c>
      <c r="I6" s="34">
        <f t="shared" si="3"/>
        <v>0</v>
      </c>
      <c r="J6" s="34">
        <f t="shared" si="4"/>
        <v>1</v>
      </c>
    </row>
    <row r="7">
      <c r="A7" s="34" t="s">
        <v>45</v>
      </c>
      <c r="B7" s="35">
        <v>3.56E10</v>
      </c>
      <c r="C7" s="35">
        <v>1.1E8</v>
      </c>
      <c r="D7" s="36">
        <v>6.0E8</v>
      </c>
      <c r="E7" s="36">
        <v>6.0E8</v>
      </c>
      <c r="F7" s="37">
        <f t="shared" si="1"/>
        <v>0.01685393258</v>
      </c>
      <c r="G7" s="36">
        <f>IF(F7="",B7*Summary!$C$22,E7)</f>
        <v>600000000</v>
      </c>
      <c r="H7" s="34">
        <f t="shared" si="2"/>
        <v>1</v>
      </c>
      <c r="I7" s="34">
        <f t="shared" si="3"/>
        <v>0</v>
      </c>
      <c r="J7" s="34">
        <f t="shared" si="4"/>
        <v>1</v>
      </c>
    </row>
    <row r="8">
      <c r="A8" s="34" t="s">
        <v>50</v>
      </c>
      <c r="B8" s="35">
        <v>3.2E10</v>
      </c>
      <c r="C8" s="35">
        <v>2.015E7</v>
      </c>
      <c r="D8" s="36">
        <v>2.015E7</v>
      </c>
      <c r="E8" s="36">
        <v>2.015E7</v>
      </c>
      <c r="F8" s="37">
        <f t="shared" si="1"/>
        <v>0.0006296875</v>
      </c>
      <c r="G8" s="36">
        <f>IF(F8="",B8*Summary!$C$22,E8)</f>
        <v>20150000</v>
      </c>
      <c r="H8" s="34">
        <f t="shared" si="2"/>
        <v>1</v>
      </c>
      <c r="I8" s="34">
        <f t="shared" si="3"/>
        <v>0</v>
      </c>
      <c r="J8" s="34">
        <f t="shared" si="4"/>
        <v>1</v>
      </c>
    </row>
    <row r="9">
      <c r="A9" s="34" t="s">
        <v>55</v>
      </c>
      <c r="B9" s="35">
        <v>2.67E10</v>
      </c>
      <c r="C9" s="35">
        <v>1.15E7</v>
      </c>
      <c r="D9" s="36">
        <v>7.72E7</v>
      </c>
      <c r="E9" s="36">
        <v>7.72E7</v>
      </c>
      <c r="F9" s="37">
        <f t="shared" si="1"/>
        <v>0.002891385768</v>
      </c>
      <c r="G9" s="36">
        <f>IF(F9="",B9*Summary!$C$22,E9)</f>
        <v>77200000</v>
      </c>
      <c r="H9" s="34">
        <f t="shared" si="2"/>
        <v>1</v>
      </c>
      <c r="I9" s="34">
        <f t="shared" si="3"/>
        <v>0</v>
      </c>
      <c r="J9" s="34">
        <f t="shared" si="4"/>
        <v>1</v>
      </c>
    </row>
    <row r="10">
      <c r="A10" s="34" t="s">
        <v>61</v>
      </c>
      <c r="B10" s="35">
        <v>2.55E10</v>
      </c>
      <c r="C10" s="35">
        <v>2.155E7</v>
      </c>
      <c r="D10" s="34"/>
      <c r="E10" s="36">
        <v>2.155E7</v>
      </c>
      <c r="F10" s="37">
        <f t="shared" si="1"/>
        <v>0.0008450980392</v>
      </c>
      <c r="G10" s="36">
        <f>IF(F10="",B10*Summary!$C$22,E10)</f>
        <v>21550000</v>
      </c>
      <c r="H10" s="34">
        <f t="shared" si="2"/>
        <v>1</v>
      </c>
      <c r="I10" s="34">
        <f t="shared" si="3"/>
        <v>1</v>
      </c>
      <c r="J10" s="34">
        <f t="shared" si="4"/>
        <v>0</v>
      </c>
    </row>
    <row r="11">
      <c r="A11" s="34" t="s">
        <v>66</v>
      </c>
      <c r="B11" s="35">
        <v>2.5E10</v>
      </c>
      <c r="C11" s="35"/>
      <c r="D11" s="34"/>
      <c r="E11" s="36"/>
      <c r="F11" s="37" t="str">
        <f t="shared" si="1"/>
        <v/>
      </c>
      <c r="G11" s="36">
        <f>IF(F11="",B11*Summary!$C$22,E11)</f>
        <v>159008928.6</v>
      </c>
      <c r="H11" s="34">
        <f t="shared" si="2"/>
        <v>0</v>
      </c>
      <c r="I11" s="34">
        <f t="shared" si="3"/>
        <v>0</v>
      </c>
      <c r="J11" s="34">
        <f t="shared" si="4"/>
        <v>0</v>
      </c>
    </row>
    <row r="12">
      <c r="A12" s="34" t="s">
        <v>70</v>
      </c>
      <c r="B12" s="35">
        <v>2.19E10</v>
      </c>
      <c r="C12" s="35">
        <v>1.9777777E7</v>
      </c>
      <c r="D12" s="36">
        <v>1.9777777E7</v>
      </c>
      <c r="E12" s="36">
        <v>1.9777777E7</v>
      </c>
      <c r="F12" s="37">
        <f t="shared" si="1"/>
        <v>0.0009030948402</v>
      </c>
      <c r="G12" s="36">
        <f>IF(F12="",B12*Summary!$C$22,E12)</f>
        <v>19777777</v>
      </c>
      <c r="H12" s="34">
        <f t="shared" si="2"/>
        <v>1</v>
      </c>
      <c r="I12" s="34">
        <f t="shared" si="3"/>
        <v>0</v>
      </c>
      <c r="J12" s="34">
        <f t="shared" si="4"/>
        <v>1</v>
      </c>
    </row>
    <row r="13">
      <c r="A13" s="34" t="s">
        <v>74</v>
      </c>
      <c r="B13" s="35">
        <v>2.0E10</v>
      </c>
      <c r="C13" s="35"/>
      <c r="D13" s="34"/>
      <c r="E13" s="36"/>
      <c r="F13" s="37" t="str">
        <f t="shared" si="1"/>
        <v/>
      </c>
      <c r="G13" s="36">
        <f>IF(F13="",B13*Summary!$C$22,E13)</f>
        <v>127207142.9</v>
      </c>
      <c r="H13" s="34">
        <f t="shared" si="2"/>
        <v>0</v>
      </c>
      <c r="I13" s="34">
        <f t="shared" si="3"/>
        <v>0</v>
      </c>
      <c r="J13" s="34">
        <f t="shared" si="4"/>
        <v>0</v>
      </c>
    </row>
    <row r="14">
      <c r="A14" s="34" t="s">
        <v>76</v>
      </c>
      <c r="B14" s="35">
        <v>1.92E10</v>
      </c>
      <c r="C14" s="35"/>
      <c r="D14" s="34"/>
      <c r="E14" s="36"/>
      <c r="F14" s="37" t="str">
        <f t="shared" si="1"/>
        <v/>
      </c>
      <c r="G14" s="36">
        <f>IF(F14="",B14*Summary!$C$22,E14)</f>
        <v>122118857.1</v>
      </c>
      <c r="H14" s="34">
        <f t="shared" si="2"/>
        <v>0</v>
      </c>
      <c r="I14" s="34">
        <f t="shared" si="3"/>
        <v>0</v>
      </c>
      <c r="J14" s="34">
        <f t="shared" si="4"/>
        <v>0</v>
      </c>
    </row>
    <row r="15">
      <c r="A15" s="34" t="s">
        <v>78</v>
      </c>
      <c r="B15" s="35">
        <v>1.79E10</v>
      </c>
      <c r="C15" s="35">
        <v>5.4E7</v>
      </c>
      <c r="D15" s="34"/>
      <c r="E15" s="36">
        <v>5.4E7</v>
      </c>
      <c r="F15" s="37">
        <f t="shared" si="1"/>
        <v>0.003016759777</v>
      </c>
      <c r="G15" s="36">
        <f>IF(F15="",B15*Summary!$C$22,E15)</f>
        <v>54000000</v>
      </c>
      <c r="H15" s="34">
        <f t="shared" si="2"/>
        <v>1</v>
      </c>
      <c r="I15" s="34">
        <f t="shared" si="3"/>
        <v>1</v>
      </c>
      <c r="J15" s="34">
        <f t="shared" si="4"/>
        <v>0</v>
      </c>
    </row>
    <row r="16">
      <c r="A16" s="34" t="s">
        <v>82</v>
      </c>
      <c r="B16" s="35">
        <v>1.75E10</v>
      </c>
      <c r="C16" s="35">
        <v>7250000.0</v>
      </c>
      <c r="D16" s="34"/>
      <c r="E16" s="36">
        <v>7250000.0</v>
      </c>
      <c r="F16" s="37">
        <f t="shared" si="1"/>
        <v>0.0004142857143</v>
      </c>
      <c r="G16" s="36">
        <f>IF(F16="",B16*Summary!$C$22,E16)</f>
        <v>7250000</v>
      </c>
      <c r="H16" s="34">
        <f t="shared" si="2"/>
        <v>1</v>
      </c>
      <c r="I16" s="34">
        <f t="shared" si="3"/>
        <v>1</v>
      </c>
      <c r="J16" s="34">
        <f t="shared" si="4"/>
        <v>0</v>
      </c>
    </row>
    <row r="17">
      <c r="A17" s="34" t="s">
        <v>86</v>
      </c>
      <c r="B17" s="35">
        <v>1.75E10</v>
      </c>
      <c r="C17" s="35"/>
      <c r="D17" s="34"/>
      <c r="E17" s="36"/>
      <c r="F17" s="37" t="str">
        <f t="shared" si="1"/>
        <v/>
      </c>
      <c r="G17" s="36">
        <f>IF(F17="",B17*Summary!$C$22,E17)</f>
        <v>111306250</v>
      </c>
      <c r="H17" s="34">
        <f t="shared" si="2"/>
        <v>0</v>
      </c>
      <c r="I17" s="34">
        <f t="shared" si="3"/>
        <v>0</v>
      </c>
      <c r="J17" s="34">
        <f t="shared" si="4"/>
        <v>0</v>
      </c>
    </row>
    <row r="18">
      <c r="A18" s="34" t="s">
        <v>88</v>
      </c>
      <c r="B18" s="35">
        <v>1.71E10</v>
      </c>
      <c r="C18" s="35">
        <v>1.87E8</v>
      </c>
      <c r="D18" s="36">
        <v>4.0E8</v>
      </c>
      <c r="E18" s="36">
        <v>4.0E8</v>
      </c>
      <c r="F18" s="37">
        <f t="shared" si="1"/>
        <v>0.02339181287</v>
      </c>
      <c r="G18" s="36">
        <f>IF(F18="",B18*Summary!$C$22,E18)</f>
        <v>400000000</v>
      </c>
      <c r="H18" s="34">
        <f t="shared" si="2"/>
        <v>1</v>
      </c>
      <c r="I18" s="34">
        <f t="shared" si="3"/>
        <v>0</v>
      </c>
      <c r="J18" s="34">
        <f t="shared" si="4"/>
        <v>1</v>
      </c>
    </row>
    <row r="19">
      <c r="A19" s="34" t="s">
        <v>95</v>
      </c>
      <c r="B19" s="35">
        <v>1.59E10</v>
      </c>
      <c r="C19" s="35">
        <v>2.908416E7</v>
      </c>
      <c r="D19" s="34"/>
      <c r="E19" s="36">
        <v>2.908416E7</v>
      </c>
      <c r="F19" s="37">
        <f t="shared" si="1"/>
        <v>0.001829192453</v>
      </c>
      <c r="G19" s="36">
        <f>IF(F19="",B19*Summary!$C$22,E19)</f>
        <v>29084160</v>
      </c>
      <c r="H19" s="34">
        <f t="shared" si="2"/>
        <v>1</v>
      </c>
      <c r="I19" s="34">
        <f t="shared" si="3"/>
        <v>1</v>
      </c>
      <c r="J19" s="34">
        <f t="shared" si="4"/>
        <v>0</v>
      </c>
    </row>
    <row r="20">
      <c r="A20" s="34" t="s">
        <v>98</v>
      </c>
      <c r="B20" s="35">
        <v>1.4E10</v>
      </c>
      <c r="C20" s="35">
        <v>7.0E7</v>
      </c>
      <c r="D20" s="36">
        <v>2.42E8</v>
      </c>
      <c r="E20" s="36">
        <v>2.42E8</v>
      </c>
      <c r="F20" s="37">
        <f t="shared" si="1"/>
        <v>0.01728571429</v>
      </c>
      <c r="G20" s="36">
        <f>IF(F20="",B20*Summary!$C$22,E20)</f>
        <v>242000000</v>
      </c>
      <c r="H20" s="34">
        <f t="shared" si="2"/>
        <v>1</v>
      </c>
      <c r="I20" s="34">
        <f t="shared" si="3"/>
        <v>0</v>
      </c>
      <c r="J20" s="34">
        <f t="shared" si="4"/>
        <v>1</v>
      </c>
    </row>
    <row r="21">
      <c r="A21" s="34" t="s">
        <v>104</v>
      </c>
      <c r="B21" s="35">
        <v>1.38E10</v>
      </c>
      <c r="C21" s="35"/>
      <c r="D21" s="34"/>
      <c r="E21" s="36"/>
      <c r="F21" s="37" t="str">
        <f t="shared" si="1"/>
        <v/>
      </c>
      <c r="G21" s="36">
        <f>IF(F21="",B21*Summary!$C$22,E21)</f>
        <v>87772928.57</v>
      </c>
      <c r="H21" s="34">
        <f t="shared" si="2"/>
        <v>0</v>
      </c>
      <c r="I21" s="34">
        <f t="shared" si="3"/>
        <v>0</v>
      </c>
      <c r="J21" s="34">
        <f t="shared" si="4"/>
        <v>0</v>
      </c>
    </row>
    <row r="22">
      <c r="A22" s="34" t="s">
        <v>107</v>
      </c>
      <c r="B22" s="35">
        <v>1.31E10</v>
      </c>
      <c r="C22" s="35">
        <v>6.0E7</v>
      </c>
      <c r="D22" s="36">
        <v>1.0E8</v>
      </c>
      <c r="E22" s="36">
        <v>1.0E8</v>
      </c>
      <c r="F22" s="37">
        <f t="shared" si="1"/>
        <v>0.007633587786</v>
      </c>
      <c r="G22" s="36">
        <f>IF(F22="",B22*Summary!$C$22,E22)</f>
        <v>100000000</v>
      </c>
      <c r="H22" s="34">
        <f t="shared" si="2"/>
        <v>1</v>
      </c>
      <c r="I22" s="34">
        <f t="shared" si="3"/>
        <v>0</v>
      </c>
      <c r="J22" s="34">
        <f t="shared" si="4"/>
        <v>1</v>
      </c>
    </row>
    <row r="23">
      <c r="A23" s="34" t="s">
        <v>111</v>
      </c>
      <c r="B23" s="35">
        <v>1.25E10</v>
      </c>
      <c r="C23" s="35"/>
      <c r="D23" s="34"/>
      <c r="E23" s="36"/>
      <c r="F23" s="37" t="str">
        <f t="shared" si="1"/>
        <v/>
      </c>
      <c r="G23" s="36">
        <f>IF(F23="",B23*Summary!$C$22,E23)</f>
        <v>79504464.29</v>
      </c>
      <c r="H23" s="34">
        <f t="shared" si="2"/>
        <v>0</v>
      </c>
      <c r="I23" s="34">
        <f t="shared" si="3"/>
        <v>0</v>
      </c>
      <c r="J23" s="34">
        <f t="shared" si="4"/>
        <v>0</v>
      </c>
    </row>
    <row r="24">
      <c r="A24" s="34" t="s">
        <v>116</v>
      </c>
      <c r="B24" s="35">
        <v>1.16E10</v>
      </c>
      <c r="C24" s="35">
        <v>6.33E7</v>
      </c>
      <c r="D24" s="36">
        <v>8.61E7</v>
      </c>
      <c r="E24" s="36">
        <v>8.61E7</v>
      </c>
      <c r="F24" s="37">
        <f t="shared" si="1"/>
        <v>0.007422413793</v>
      </c>
      <c r="G24" s="36">
        <f>IF(F24="",B24*Summary!$C$22,E24)</f>
        <v>86100000</v>
      </c>
      <c r="H24" s="34">
        <f t="shared" si="2"/>
        <v>1</v>
      </c>
      <c r="I24" s="34">
        <f t="shared" si="3"/>
        <v>0</v>
      </c>
      <c r="J24" s="34">
        <f t="shared" si="4"/>
        <v>1</v>
      </c>
    </row>
    <row r="25">
      <c r="A25" s="34" t="s">
        <v>120</v>
      </c>
      <c r="B25" s="35">
        <v>1.12E10</v>
      </c>
      <c r="C25" s="35">
        <v>800000.0</v>
      </c>
      <c r="D25" s="34"/>
      <c r="E25" s="36">
        <v>800000.0</v>
      </c>
      <c r="F25" s="37">
        <f t="shared" si="1"/>
        <v>0.00007142857143</v>
      </c>
      <c r="G25" s="36">
        <f>IF(F25="",B25*Summary!$C$22,E25)</f>
        <v>800000</v>
      </c>
      <c r="H25" s="34">
        <f t="shared" si="2"/>
        <v>1</v>
      </c>
      <c r="I25" s="34">
        <f t="shared" si="3"/>
        <v>1</v>
      </c>
      <c r="J25" s="34">
        <f t="shared" si="4"/>
        <v>0</v>
      </c>
    </row>
    <row r="26">
      <c r="A26" s="34" t="s">
        <v>124</v>
      </c>
      <c r="B26" s="35">
        <v>1.07E10</v>
      </c>
      <c r="C26" s="35">
        <v>1.0E7</v>
      </c>
      <c r="D26" s="36">
        <v>8.0E7</v>
      </c>
      <c r="E26" s="36">
        <v>8.0E7</v>
      </c>
      <c r="F26" s="37">
        <f t="shared" si="1"/>
        <v>0.007476635514</v>
      </c>
      <c r="G26" s="36">
        <f>IF(F26="",B26*Summary!$C$22,E26)</f>
        <v>80000000</v>
      </c>
      <c r="H26" s="34">
        <f t="shared" si="2"/>
        <v>1</v>
      </c>
      <c r="I26" s="34">
        <f t="shared" si="3"/>
        <v>0</v>
      </c>
      <c r="J26" s="34">
        <f t="shared" si="4"/>
        <v>1</v>
      </c>
    </row>
    <row r="27">
      <c r="A27" s="34" t="s">
        <v>129</v>
      </c>
      <c r="B27" s="35">
        <v>1.02E10</v>
      </c>
      <c r="C27" s="35">
        <v>1.35E7</v>
      </c>
      <c r="D27" s="36">
        <v>1.35E7</v>
      </c>
      <c r="E27" s="36">
        <v>1.35E7</v>
      </c>
      <c r="F27" s="37">
        <f t="shared" si="1"/>
        <v>0.001323529412</v>
      </c>
      <c r="G27" s="36">
        <f>IF(F27="",B27*Summary!$C$22,E27)</f>
        <v>13500000</v>
      </c>
      <c r="H27" s="34">
        <f t="shared" si="2"/>
        <v>1</v>
      </c>
      <c r="I27" s="34">
        <f t="shared" si="3"/>
        <v>0</v>
      </c>
      <c r="J27" s="34">
        <f t="shared" si="4"/>
        <v>1</v>
      </c>
    </row>
    <row r="28">
      <c r="A28" s="34" t="s">
        <v>133</v>
      </c>
      <c r="B28" s="35">
        <v>1.01E10</v>
      </c>
      <c r="C28" s="35">
        <v>1.33E8</v>
      </c>
      <c r="D28" s="36">
        <v>1.33E8</v>
      </c>
      <c r="E28" s="36">
        <v>1.33E8</v>
      </c>
      <c r="F28" s="37">
        <f t="shared" si="1"/>
        <v>0.01316831683</v>
      </c>
      <c r="G28" s="36">
        <f>IF(F28="",B28*Summary!$C$22,E28)</f>
        <v>133000000</v>
      </c>
      <c r="H28" s="34">
        <f t="shared" si="2"/>
        <v>1</v>
      </c>
      <c r="I28" s="34">
        <f t="shared" si="3"/>
        <v>0</v>
      </c>
      <c r="J28" s="34">
        <f t="shared" si="4"/>
        <v>1</v>
      </c>
    </row>
    <row r="29">
      <c r="A29" s="34" t="s">
        <v>136</v>
      </c>
      <c r="B29" s="35">
        <v>1.0E10</v>
      </c>
      <c r="C29" s="35"/>
      <c r="D29" s="34"/>
      <c r="E29" s="36"/>
      <c r="F29" s="37" t="str">
        <f t="shared" si="1"/>
        <v/>
      </c>
      <c r="G29" s="36">
        <f>IF(F29="",B29*Summary!$C$22,E29)</f>
        <v>63603571.43</v>
      </c>
      <c r="H29" s="34">
        <f t="shared" si="2"/>
        <v>0</v>
      </c>
      <c r="I29" s="34">
        <f t="shared" si="3"/>
        <v>0</v>
      </c>
      <c r="J29" s="34">
        <f t="shared" si="4"/>
        <v>0</v>
      </c>
    </row>
    <row r="30">
      <c r="A30" s="34" t="s">
        <v>138</v>
      </c>
      <c r="B30" s="35">
        <v>1.0E10</v>
      </c>
      <c r="C30" s="35">
        <v>1.0E8</v>
      </c>
      <c r="D30" s="36">
        <v>1.38E8</v>
      </c>
      <c r="E30" s="36">
        <v>1.38E8</v>
      </c>
      <c r="F30" s="37">
        <f t="shared" si="1"/>
        <v>0.0138</v>
      </c>
      <c r="G30" s="36">
        <f>IF(F30="",B30*Summary!$C$22,E30)</f>
        <v>138000000</v>
      </c>
      <c r="H30" s="34">
        <f t="shared" si="2"/>
        <v>1</v>
      </c>
      <c r="I30" s="34">
        <f t="shared" si="3"/>
        <v>0</v>
      </c>
      <c r="J30" s="34">
        <f t="shared" si="4"/>
        <v>1</v>
      </c>
    </row>
    <row r="31">
      <c r="A31" s="34" t="s">
        <v>142</v>
      </c>
      <c r="B31" s="35">
        <v>9.8E9</v>
      </c>
      <c r="C31" s="35"/>
      <c r="D31" s="34"/>
      <c r="E31" s="36"/>
      <c r="F31" s="37" t="str">
        <f t="shared" si="1"/>
        <v/>
      </c>
      <c r="G31" s="36">
        <f>IF(F31="",B31*Summary!$C$22,E31)</f>
        <v>62331500</v>
      </c>
      <c r="H31" s="34">
        <f t="shared" si="2"/>
        <v>0</v>
      </c>
      <c r="I31" s="34">
        <f t="shared" si="3"/>
        <v>0</v>
      </c>
      <c r="J31" s="34">
        <f t="shared" si="4"/>
        <v>0</v>
      </c>
    </row>
    <row r="32">
      <c r="A32" s="34" t="s">
        <v>144</v>
      </c>
      <c r="B32" s="35">
        <v>9.6E9</v>
      </c>
      <c r="C32" s="35"/>
      <c r="D32" s="34"/>
      <c r="E32" s="36"/>
      <c r="F32" s="37" t="str">
        <f t="shared" si="1"/>
        <v/>
      </c>
      <c r="G32" s="36">
        <f>IF(F32="",B32*Summary!$C$22,E32)</f>
        <v>61059428.57</v>
      </c>
      <c r="H32" s="34">
        <f t="shared" si="2"/>
        <v>0</v>
      </c>
      <c r="I32" s="34">
        <f t="shared" si="3"/>
        <v>0</v>
      </c>
      <c r="J32" s="34">
        <f t="shared" si="4"/>
        <v>0</v>
      </c>
    </row>
    <row r="33">
      <c r="A33" s="34" t="s">
        <v>147</v>
      </c>
      <c r="B33" s="35">
        <v>9.3E9</v>
      </c>
      <c r="C33" s="35">
        <v>1.8E7</v>
      </c>
      <c r="D33" s="34"/>
      <c r="E33" s="36">
        <v>1.8E7</v>
      </c>
      <c r="F33" s="37">
        <f t="shared" si="1"/>
        <v>0.001935483871</v>
      </c>
      <c r="G33" s="36">
        <f>IF(F33="",B33*Summary!$C$22,E33)</f>
        <v>18000000</v>
      </c>
      <c r="H33" s="34">
        <f t="shared" si="2"/>
        <v>1</v>
      </c>
      <c r="I33" s="34">
        <f t="shared" si="3"/>
        <v>1</v>
      </c>
      <c r="J33" s="34">
        <f t="shared" si="4"/>
        <v>0</v>
      </c>
    </row>
    <row r="34">
      <c r="A34" s="34" t="s">
        <v>150</v>
      </c>
      <c r="B34" s="35">
        <v>9.2E9</v>
      </c>
      <c r="C34" s="35">
        <v>6.8E7</v>
      </c>
      <c r="D34" s="36">
        <v>1.32E8</v>
      </c>
      <c r="E34" s="36">
        <v>1.32E8</v>
      </c>
      <c r="F34" s="37">
        <f t="shared" si="1"/>
        <v>0.01434782609</v>
      </c>
      <c r="G34" s="36">
        <f>IF(F34="",B34*Summary!$C$22,E34)</f>
        <v>132000000</v>
      </c>
      <c r="H34" s="34">
        <f t="shared" si="2"/>
        <v>1</v>
      </c>
      <c r="I34" s="34">
        <f t="shared" si="3"/>
        <v>0</v>
      </c>
      <c r="J34" s="34">
        <f t="shared" si="4"/>
        <v>1</v>
      </c>
    </row>
    <row r="35">
      <c r="A35" s="34" t="s">
        <v>155</v>
      </c>
      <c r="B35" s="35">
        <v>9.1E9</v>
      </c>
      <c r="C35" s="35"/>
      <c r="D35" s="34"/>
      <c r="E35" s="36"/>
      <c r="F35" s="37" t="str">
        <f t="shared" si="1"/>
        <v/>
      </c>
      <c r="G35" s="36">
        <f>IF(F35="",B35*Summary!$C$22,E35)</f>
        <v>57879250</v>
      </c>
      <c r="H35" s="34">
        <f t="shared" si="2"/>
        <v>0</v>
      </c>
      <c r="I35" s="34">
        <f t="shared" si="3"/>
        <v>0</v>
      </c>
      <c r="J35" s="34">
        <f t="shared" si="4"/>
        <v>0</v>
      </c>
    </row>
    <row r="36">
      <c r="A36" s="34" t="s">
        <v>157</v>
      </c>
      <c r="B36" s="35">
        <v>8.6E9</v>
      </c>
      <c r="C36" s="35"/>
      <c r="D36" s="34"/>
      <c r="E36" s="36"/>
      <c r="F36" s="37" t="str">
        <f t="shared" si="1"/>
        <v/>
      </c>
      <c r="G36" s="36">
        <f>IF(F36="",B36*Summary!$C$22,E36)</f>
        <v>54699071.43</v>
      </c>
      <c r="H36" s="34">
        <f t="shared" si="2"/>
        <v>0</v>
      </c>
      <c r="I36" s="34">
        <f t="shared" si="3"/>
        <v>0</v>
      </c>
      <c r="J36" s="34">
        <f t="shared" si="4"/>
        <v>0</v>
      </c>
    </row>
    <row r="37">
      <c r="A37" s="34" t="s">
        <v>162</v>
      </c>
      <c r="B37" s="35">
        <v>8.6E9</v>
      </c>
      <c r="C37" s="35"/>
      <c r="D37" s="34"/>
      <c r="E37" s="36"/>
      <c r="F37" s="37" t="str">
        <f t="shared" si="1"/>
        <v/>
      </c>
      <c r="G37" s="36">
        <f>IF(F37="",B37*Summary!$C$22,E37)</f>
        <v>54699071.43</v>
      </c>
      <c r="H37" s="34">
        <f t="shared" si="2"/>
        <v>0</v>
      </c>
      <c r="I37" s="34">
        <f t="shared" si="3"/>
        <v>0</v>
      </c>
      <c r="J37" s="34">
        <f t="shared" si="4"/>
        <v>0</v>
      </c>
    </row>
    <row r="38">
      <c r="A38" s="34" t="s">
        <v>164</v>
      </c>
      <c r="B38" s="35">
        <v>8.1E9</v>
      </c>
      <c r="C38" s="35">
        <v>1.0659988E7</v>
      </c>
      <c r="D38" s="36">
        <v>5.13E7</v>
      </c>
      <c r="E38" s="36">
        <v>5.13E7</v>
      </c>
      <c r="F38" s="37">
        <f t="shared" si="1"/>
        <v>0.006333333333</v>
      </c>
      <c r="G38" s="36">
        <f>IF(F38="",B38*Summary!$C$22,E38)</f>
        <v>51300000</v>
      </c>
      <c r="H38" s="34">
        <f t="shared" si="2"/>
        <v>1</v>
      </c>
      <c r="I38" s="34">
        <f t="shared" si="3"/>
        <v>0</v>
      </c>
      <c r="J38" s="34">
        <f t="shared" si="4"/>
        <v>1</v>
      </c>
    </row>
    <row r="39">
      <c r="A39" s="34" t="s">
        <v>172</v>
      </c>
      <c r="B39" s="35">
        <v>7.8E9</v>
      </c>
      <c r="C39" s="35">
        <v>8683775.0</v>
      </c>
      <c r="D39" s="36">
        <v>8683775.0</v>
      </c>
      <c r="E39" s="36">
        <v>8683775.0</v>
      </c>
      <c r="F39" s="37">
        <f t="shared" si="1"/>
        <v>0.001113304487</v>
      </c>
      <c r="G39" s="36">
        <f>IF(F39="",B39*Summary!$C$22,E39)</f>
        <v>8683775</v>
      </c>
      <c r="H39" s="34">
        <f t="shared" si="2"/>
        <v>1</v>
      </c>
      <c r="I39" s="34">
        <f t="shared" si="3"/>
        <v>0</v>
      </c>
      <c r="J39" s="34">
        <f t="shared" si="4"/>
        <v>1</v>
      </c>
    </row>
    <row r="40">
      <c r="A40" s="34" t="s">
        <v>176</v>
      </c>
      <c r="B40" s="35">
        <v>7.7E9</v>
      </c>
      <c r="C40" s="35">
        <v>1.06E7</v>
      </c>
      <c r="D40" s="36">
        <v>1.06E7</v>
      </c>
      <c r="E40" s="36">
        <v>1.06E7</v>
      </c>
      <c r="F40" s="37">
        <f t="shared" si="1"/>
        <v>0.001376623377</v>
      </c>
      <c r="G40" s="36">
        <f>IF(F40="",B40*Summary!$C$22,E40)</f>
        <v>10600000</v>
      </c>
      <c r="H40" s="34">
        <f t="shared" si="2"/>
        <v>1</v>
      </c>
      <c r="I40" s="34">
        <f t="shared" si="3"/>
        <v>0</v>
      </c>
      <c r="J40" s="34">
        <f t="shared" si="4"/>
        <v>1</v>
      </c>
    </row>
    <row r="41">
      <c r="A41" s="34" t="s">
        <v>180</v>
      </c>
      <c r="B41" s="35">
        <v>7.6E9</v>
      </c>
      <c r="C41" s="35">
        <v>8107000.0</v>
      </c>
      <c r="D41" s="36">
        <v>8107000.0</v>
      </c>
      <c r="E41" s="36">
        <v>8107000.0</v>
      </c>
      <c r="F41" s="37">
        <f t="shared" si="1"/>
        <v>0.001066710526</v>
      </c>
      <c r="G41" s="36">
        <f>IF(F41="",B41*Summary!$C$22,E41)</f>
        <v>8107000</v>
      </c>
      <c r="H41" s="34">
        <f t="shared" si="2"/>
        <v>1</v>
      </c>
      <c r="I41" s="34">
        <f t="shared" si="3"/>
        <v>0</v>
      </c>
      <c r="J41" s="34">
        <f t="shared" si="4"/>
        <v>1</v>
      </c>
    </row>
    <row r="42">
      <c r="A42" s="34" t="s">
        <v>184</v>
      </c>
      <c r="B42" s="35">
        <v>7.4E9</v>
      </c>
      <c r="C42" s="35">
        <v>1.02E8</v>
      </c>
      <c r="D42" s="36">
        <v>1.7975E8</v>
      </c>
      <c r="E42" s="36">
        <v>1.7975E8</v>
      </c>
      <c r="F42" s="37">
        <f t="shared" si="1"/>
        <v>0.02429054054</v>
      </c>
      <c r="G42" s="36">
        <f>IF(F42="",B42*Summary!$C$22,E42)</f>
        <v>179750000</v>
      </c>
      <c r="H42" s="34">
        <f t="shared" si="2"/>
        <v>1</v>
      </c>
      <c r="I42" s="34">
        <f t="shared" si="3"/>
        <v>0</v>
      </c>
      <c r="J42" s="34">
        <f t="shared" si="4"/>
        <v>1</v>
      </c>
    </row>
    <row r="43">
      <c r="A43" s="34" t="s">
        <v>189</v>
      </c>
      <c r="B43" s="35">
        <v>7.0E9</v>
      </c>
      <c r="C43" s="35">
        <v>2.5E8</v>
      </c>
      <c r="D43" s="36">
        <v>2.5E8</v>
      </c>
      <c r="E43" s="36">
        <v>2.5E8</v>
      </c>
      <c r="F43" s="37">
        <f t="shared" si="1"/>
        <v>0.03571428571</v>
      </c>
      <c r="G43" s="36">
        <f>IF(F43="",B43*Summary!$C$22,E43)</f>
        <v>250000000</v>
      </c>
      <c r="H43" s="34">
        <f t="shared" si="2"/>
        <v>1</v>
      </c>
      <c r="I43" s="34">
        <f t="shared" si="3"/>
        <v>0</v>
      </c>
      <c r="J43" s="34">
        <f t="shared" si="4"/>
        <v>1</v>
      </c>
    </row>
    <row r="44">
      <c r="A44" s="34" t="s">
        <v>194</v>
      </c>
      <c r="B44" s="35">
        <v>6.9E9</v>
      </c>
      <c r="C44" s="35"/>
      <c r="D44" s="34"/>
      <c r="E44" s="36"/>
      <c r="F44" s="37" t="str">
        <f t="shared" si="1"/>
        <v/>
      </c>
      <c r="G44" s="36">
        <f>IF(F44="",B44*Summary!$C$22,E44)</f>
        <v>43886464.29</v>
      </c>
      <c r="H44" s="34">
        <f t="shared" si="2"/>
        <v>0</v>
      </c>
      <c r="I44" s="34">
        <f t="shared" si="3"/>
        <v>0</v>
      </c>
      <c r="J44" s="34">
        <f t="shared" si="4"/>
        <v>0</v>
      </c>
    </row>
    <row r="45">
      <c r="A45" s="34" t="s">
        <v>198</v>
      </c>
      <c r="B45" s="35">
        <v>6.9E9</v>
      </c>
      <c r="C45" s="35">
        <v>1.5830193E7</v>
      </c>
      <c r="D45" s="36">
        <v>1.5830193E7</v>
      </c>
      <c r="E45" s="36">
        <v>1.5830193E7</v>
      </c>
      <c r="F45" s="37">
        <f t="shared" si="1"/>
        <v>0.00229423087</v>
      </c>
      <c r="G45" s="36">
        <f>IF(F45="",B45*Summary!$C$22,E45)</f>
        <v>15830193</v>
      </c>
      <c r="H45" s="34">
        <f t="shared" si="2"/>
        <v>1</v>
      </c>
      <c r="I45" s="34">
        <f t="shared" si="3"/>
        <v>0</v>
      </c>
      <c r="J45" s="34">
        <f t="shared" si="4"/>
        <v>1</v>
      </c>
    </row>
    <row r="46">
      <c r="A46" s="34" t="s">
        <v>201</v>
      </c>
      <c r="B46" s="35">
        <v>6.7E9</v>
      </c>
      <c r="C46" s="35"/>
      <c r="D46" s="34"/>
      <c r="E46" s="36"/>
      <c r="F46" s="37" t="str">
        <f t="shared" si="1"/>
        <v/>
      </c>
      <c r="G46" s="36">
        <f>IF(F46="",B46*Summary!$C$22,E46)</f>
        <v>42614392.86</v>
      </c>
      <c r="H46" s="34">
        <f t="shared" si="2"/>
        <v>0</v>
      </c>
      <c r="I46" s="34">
        <f t="shared" si="3"/>
        <v>0</v>
      </c>
      <c r="J46" s="34">
        <f t="shared" si="4"/>
        <v>0</v>
      </c>
    </row>
    <row r="47">
      <c r="A47" s="34" t="s">
        <v>203</v>
      </c>
      <c r="B47" s="35">
        <v>6.4E9</v>
      </c>
      <c r="C47" s="35"/>
      <c r="D47" s="34"/>
      <c r="E47" s="36"/>
      <c r="F47" s="37" t="str">
        <f t="shared" si="1"/>
        <v/>
      </c>
      <c r="G47" s="36">
        <f>IF(F47="",B47*Summary!$C$22,E47)</f>
        <v>40706285.71</v>
      </c>
      <c r="H47" s="34">
        <f t="shared" si="2"/>
        <v>0</v>
      </c>
      <c r="I47" s="34">
        <f t="shared" si="3"/>
        <v>0</v>
      </c>
      <c r="J47" s="34">
        <f t="shared" si="4"/>
        <v>0</v>
      </c>
    </row>
    <row r="48">
      <c r="A48" s="34" t="s">
        <v>205</v>
      </c>
      <c r="B48" s="35">
        <v>6.4E9</v>
      </c>
      <c r="C48" s="35"/>
      <c r="D48" s="34"/>
      <c r="E48" s="36"/>
      <c r="F48" s="37" t="str">
        <f t="shared" si="1"/>
        <v/>
      </c>
      <c r="G48" s="36">
        <f>IF(F48="",B48*Summary!$C$22,E48)</f>
        <v>40706285.71</v>
      </c>
      <c r="H48" s="34">
        <f t="shared" si="2"/>
        <v>0</v>
      </c>
      <c r="I48" s="34">
        <f t="shared" si="3"/>
        <v>0</v>
      </c>
      <c r="J48" s="34">
        <f t="shared" si="4"/>
        <v>0</v>
      </c>
    </row>
    <row r="49">
      <c r="A49" s="34" t="s">
        <v>206</v>
      </c>
      <c r="B49" s="35">
        <v>6.3E9</v>
      </c>
      <c r="C49" s="35">
        <v>1031715.0</v>
      </c>
      <c r="D49" s="34"/>
      <c r="E49" s="36">
        <v>1031715.0</v>
      </c>
      <c r="F49" s="37">
        <f t="shared" si="1"/>
        <v>0.0001637642857</v>
      </c>
      <c r="G49" s="36">
        <f>IF(F49="",B49*Summary!$C$22,E49)</f>
        <v>1031715</v>
      </c>
      <c r="H49" s="34">
        <f t="shared" si="2"/>
        <v>1</v>
      </c>
      <c r="I49" s="34">
        <f t="shared" si="3"/>
        <v>1</v>
      </c>
      <c r="J49" s="34">
        <f t="shared" si="4"/>
        <v>0</v>
      </c>
    </row>
    <row r="50">
      <c r="A50" s="34" t="s">
        <v>210</v>
      </c>
      <c r="B50" s="35">
        <v>5.9E9</v>
      </c>
      <c r="C50" s="35">
        <v>8.0E7</v>
      </c>
      <c r="D50" s="36">
        <v>8.65E7</v>
      </c>
      <c r="E50" s="36">
        <v>8.65E7</v>
      </c>
      <c r="F50" s="37">
        <f t="shared" si="1"/>
        <v>0.01466101695</v>
      </c>
      <c r="G50" s="36">
        <f>IF(F50="",B50*Summary!$C$22,E50)</f>
        <v>86500000</v>
      </c>
      <c r="H50" s="34">
        <f t="shared" si="2"/>
        <v>1</v>
      </c>
      <c r="I50" s="34">
        <f t="shared" si="3"/>
        <v>0</v>
      </c>
      <c r="J50" s="34">
        <f t="shared" si="4"/>
        <v>1</v>
      </c>
    </row>
    <row r="51">
      <c r="A51" s="34" t="s">
        <v>216</v>
      </c>
      <c r="B51" s="35">
        <v>5.7E9</v>
      </c>
      <c r="C51" s="35"/>
      <c r="D51" s="36">
        <v>1.4340561E7</v>
      </c>
      <c r="E51" s="36">
        <v>1.4340561E7</v>
      </c>
      <c r="F51" s="37">
        <f t="shared" si="1"/>
        <v>0.002515887895</v>
      </c>
      <c r="G51" s="36">
        <f>IF(F51="",B51*Summary!$C$22,E51)</f>
        <v>14340561</v>
      </c>
      <c r="H51" s="34">
        <f t="shared" si="2"/>
        <v>1</v>
      </c>
      <c r="I51" s="34">
        <f t="shared" si="3"/>
        <v>0</v>
      </c>
      <c r="J51" s="34">
        <f t="shared" si="4"/>
        <v>1</v>
      </c>
    </row>
    <row r="52">
      <c r="A52" s="34" t="s">
        <v>222</v>
      </c>
      <c r="B52" s="35">
        <v>5.6E9</v>
      </c>
      <c r="C52" s="35">
        <v>877000.0</v>
      </c>
      <c r="D52" s="36">
        <v>7862000.0</v>
      </c>
      <c r="E52" s="36">
        <v>7862000.0</v>
      </c>
      <c r="F52" s="37">
        <f t="shared" si="1"/>
        <v>0.001403928571</v>
      </c>
      <c r="G52" s="36">
        <f>IF(F52="",B52*Summary!$C$22,E52)</f>
        <v>7862000</v>
      </c>
      <c r="H52" s="34">
        <f t="shared" si="2"/>
        <v>1</v>
      </c>
      <c r="I52" s="34">
        <f t="shared" si="3"/>
        <v>0</v>
      </c>
      <c r="J52" s="34">
        <f t="shared" si="4"/>
        <v>1</v>
      </c>
    </row>
    <row r="53">
      <c r="A53" s="34" t="s">
        <v>228</v>
      </c>
      <c r="B53" s="35">
        <v>5.6E9</v>
      </c>
      <c r="C53" s="35"/>
      <c r="D53" s="34"/>
      <c r="E53" s="36"/>
      <c r="F53" s="37" t="str">
        <f t="shared" si="1"/>
        <v/>
      </c>
      <c r="G53" s="36">
        <f>IF(F53="",B53*Summary!$C$22,E53)</f>
        <v>35618000</v>
      </c>
      <c r="H53" s="34">
        <f t="shared" si="2"/>
        <v>0</v>
      </c>
      <c r="I53" s="34">
        <f t="shared" si="3"/>
        <v>0</v>
      </c>
      <c r="J53" s="34">
        <f t="shared" si="4"/>
        <v>0</v>
      </c>
    </row>
    <row r="54">
      <c r="A54" s="34" t="s">
        <v>232</v>
      </c>
      <c r="B54" s="35">
        <v>5.5E9</v>
      </c>
      <c r="C54" s="35"/>
      <c r="D54" s="34"/>
      <c r="E54" s="36"/>
      <c r="F54" s="37" t="str">
        <f t="shared" si="1"/>
        <v/>
      </c>
      <c r="G54" s="36">
        <f>IF(F54="",B54*Summary!$C$22,E54)</f>
        <v>34981964.29</v>
      </c>
      <c r="H54" s="34">
        <f t="shared" si="2"/>
        <v>0</v>
      </c>
      <c r="I54" s="34">
        <f t="shared" si="3"/>
        <v>0</v>
      </c>
      <c r="J54" s="34">
        <f t="shared" si="4"/>
        <v>0</v>
      </c>
    </row>
    <row r="55">
      <c r="A55" s="34" t="s">
        <v>236</v>
      </c>
      <c r="B55" s="35">
        <v>5.4E9</v>
      </c>
      <c r="C55" s="35"/>
      <c r="D55" s="34"/>
      <c r="E55" s="36"/>
      <c r="F55" s="37" t="str">
        <f t="shared" si="1"/>
        <v/>
      </c>
      <c r="G55" s="36">
        <f>IF(F55="",B55*Summary!$C$22,E55)</f>
        <v>34345928.57</v>
      </c>
      <c r="H55" s="34">
        <f t="shared" si="2"/>
        <v>0</v>
      </c>
      <c r="I55" s="34">
        <f t="shared" si="3"/>
        <v>0</v>
      </c>
      <c r="J55" s="34">
        <f t="shared" si="4"/>
        <v>0</v>
      </c>
    </row>
    <row r="56">
      <c r="A56" s="34" t="s">
        <v>239</v>
      </c>
      <c r="B56" s="35">
        <v>5.4E9</v>
      </c>
      <c r="C56" s="35">
        <v>2.960876E7</v>
      </c>
      <c r="D56" s="36">
        <v>2.960876E7</v>
      </c>
      <c r="E56" s="36">
        <v>2.960876E7</v>
      </c>
      <c r="F56" s="37">
        <f t="shared" si="1"/>
        <v>0.005483103704</v>
      </c>
      <c r="G56" s="36">
        <f>IF(F56="",B56*Summary!$C$22,E56)</f>
        <v>29608760</v>
      </c>
      <c r="H56" s="34">
        <f t="shared" si="2"/>
        <v>1</v>
      </c>
      <c r="I56" s="34">
        <f t="shared" si="3"/>
        <v>0</v>
      </c>
      <c r="J56" s="34">
        <f t="shared" si="4"/>
        <v>1</v>
      </c>
    </row>
    <row r="57">
      <c r="A57" s="34" t="s">
        <v>242</v>
      </c>
      <c r="B57" s="35">
        <v>5.4E9</v>
      </c>
      <c r="C57" s="35">
        <v>3.0E7</v>
      </c>
      <c r="D57" s="36">
        <v>1.625E8</v>
      </c>
      <c r="E57" s="36">
        <v>1.625E8</v>
      </c>
      <c r="F57" s="37">
        <f t="shared" si="1"/>
        <v>0.03009259259</v>
      </c>
      <c r="G57" s="36">
        <f>IF(F57="",B57*Summary!$C$22,E57)</f>
        <v>162500000</v>
      </c>
      <c r="H57" s="34">
        <f t="shared" si="2"/>
        <v>1</v>
      </c>
      <c r="I57" s="34">
        <f t="shared" si="3"/>
        <v>0</v>
      </c>
      <c r="J57" s="34">
        <f t="shared" si="4"/>
        <v>1</v>
      </c>
    </row>
    <row r="58">
      <c r="A58" s="34" t="s">
        <v>247</v>
      </c>
      <c r="B58" s="35">
        <v>5.4E9</v>
      </c>
      <c r="C58" s="35"/>
      <c r="D58" s="34"/>
      <c r="E58" s="36"/>
      <c r="F58" s="37" t="str">
        <f t="shared" si="1"/>
        <v/>
      </c>
      <c r="G58" s="36">
        <f>IF(F58="",B58*Summary!$C$22,E58)</f>
        <v>34345928.57</v>
      </c>
      <c r="H58" s="34">
        <f t="shared" si="2"/>
        <v>0</v>
      </c>
      <c r="I58" s="34">
        <f t="shared" si="3"/>
        <v>0</v>
      </c>
      <c r="J58" s="34">
        <f t="shared" si="4"/>
        <v>0</v>
      </c>
    </row>
    <row r="59">
      <c r="A59" s="34" t="s">
        <v>248</v>
      </c>
      <c r="B59" s="35">
        <v>5.3E9</v>
      </c>
      <c r="C59" s="35">
        <v>1.7115689E7</v>
      </c>
      <c r="D59" s="36">
        <v>1.7115689E7</v>
      </c>
      <c r="E59" s="36">
        <v>1.7115689E7</v>
      </c>
      <c r="F59" s="37">
        <f t="shared" si="1"/>
        <v>0.003229375283</v>
      </c>
      <c r="G59" s="36">
        <f>IF(F59="",B59*Summary!$C$22,E59)</f>
        <v>17115689</v>
      </c>
      <c r="H59" s="34">
        <f t="shared" si="2"/>
        <v>1</v>
      </c>
      <c r="I59" s="34">
        <f t="shared" si="3"/>
        <v>0</v>
      </c>
      <c r="J59" s="34">
        <f t="shared" si="4"/>
        <v>1</v>
      </c>
    </row>
    <row r="60">
      <c r="A60" s="34" t="s">
        <v>252</v>
      </c>
      <c r="B60" s="35">
        <v>5.3E9</v>
      </c>
      <c r="C60" s="35">
        <v>1.7115689E7</v>
      </c>
      <c r="D60" s="36">
        <v>1.7115689E7</v>
      </c>
      <c r="E60" s="36">
        <v>1.7115689E7</v>
      </c>
      <c r="F60" s="37">
        <f t="shared" si="1"/>
        <v>0.003229375283</v>
      </c>
      <c r="G60" s="36">
        <f>IF(F60="",B60*Summary!$C$22,E60)</f>
        <v>17115689</v>
      </c>
      <c r="H60" s="34">
        <f t="shared" si="2"/>
        <v>1</v>
      </c>
      <c r="I60" s="34">
        <f t="shared" si="3"/>
        <v>0</v>
      </c>
      <c r="J60" s="34">
        <f t="shared" si="4"/>
        <v>1</v>
      </c>
    </row>
    <row r="61">
      <c r="A61" s="34" t="s">
        <v>254</v>
      </c>
      <c r="B61" s="35">
        <v>5.3E9</v>
      </c>
      <c r="C61" s="35"/>
      <c r="D61" s="34"/>
      <c r="E61" s="36"/>
      <c r="F61" s="37" t="str">
        <f t="shared" si="1"/>
        <v/>
      </c>
      <c r="G61" s="36">
        <f>IF(F61="",B61*Summary!$C$22,E61)</f>
        <v>33709892.86</v>
      </c>
      <c r="H61" s="34">
        <f t="shared" si="2"/>
        <v>0</v>
      </c>
      <c r="I61" s="34">
        <f t="shared" si="3"/>
        <v>0</v>
      </c>
      <c r="J61" s="34">
        <f t="shared" si="4"/>
        <v>0</v>
      </c>
    </row>
    <row r="62">
      <c r="A62" s="34" t="s">
        <v>255</v>
      </c>
      <c r="B62" s="35">
        <v>5.3E9</v>
      </c>
      <c r="C62" s="35">
        <v>4.16E7</v>
      </c>
      <c r="D62" s="36">
        <v>1.23E8</v>
      </c>
      <c r="E62" s="36">
        <v>1.23E8</v>
      </c>
      <c r="F62" s="37">
        <f t="shared" si="1"/>
        <v>0.02320754717</v>
      </c>
      <c r="G62" s="36">
        <f>IF(F62="",B62*Summary!$C$22,E62)</f>
        <v>123000000</v>
      </c>
      <c r="H62" s="34">
        <f t="shared" si="2"/>
        <v>1</v>
      </c>
      <c r="I62" s="34">
        <f t="shared" si="3"/>
        <v>0</v>
      </c>
      <c r="J62" s="34">
        <f t="shared" si="4"/>
        <v>1</v>
      </c>
    </row>
    <row r="63">
      <c r="A63" s="34" t="s">
        <v>261</v>
      </c>
      <c r="B63" s="35">
        <v>5.1E9</v>
      </c>
      <c r="C63" s="35">
        <v>1750000.0</v>
      </c>
      <c r="D63" s="36">
        <v>3250000.0</v>
      </c>
      <c r="E63" s="36">
        <v>3250000.0</v>
      </c>
      <c r="F63" s="37">
        <f t="shared" si="1"/>
        <v>0.000637254902</v>
      </c>
      <c r="G63" s="36">
        <f>IF(F63="",B63*Summary!$C$22,E63)</f>
        <v>3250000</v>
      </c>
      <c r="H63" s="34">
        <f t="shared" si="2"/>
        <v>1</v>
      </c>
      <c r="I63" s="34">
        <f t="shared" si="3"/>
        <v>0</v>
      </c>
      <c r="J63" s="34">
        <f t="shared" si="4"/>
        <v>1</v>
      </c>
    </row>
    <row r="64">
      <c r="A64" s="34" t="s">
        <v>267</v>
      </c>
      <c r="B64" s="35">
        <v>5.1E9</v>
      </c>
      <c r="C64" s="35"/>
      <c r="D64" s="34"/>
      <c r="E64" s="36"/>
      <c r="F64" s="37" t="str">
        <f t="shared" si="1"/>
        <v/>
      </c>
      <c r="G64" s="36">
        <f>IF(F64="",B64*Summary!$C$22,E64)</f>
        <v>32437821.43</v>
      </c>
      <c r="H64" s="34">
        <f t="shared" si="2"/>
        <v>0</v>
      </c>
      <c r="I64" s="34">
        <f t="shared" si="3"/>
        <v>0</v>
      </c>
      <c r="J64" s="34">
        <f t="shared" si="4"/>
        <v>0</v>
      </c>
    </row>
    <row r="65">
      <c r="A65" s="34" t="s">
        <v>269</v>
      </c>
      <c r="B65" s="35">
        <v>5.0E9</v>
      </c>
      <c r="C65" s="35"/>
      <c r="D65" s="34"/>
      <c r="E65" s="36"/>
      <c r="F65" s="37" t="str">
        <f t="shared" si="1"/>
        <v/>
      </c>
      <c r="G65" s="36">
        <f>IF(F65="",B65*Summary!$C$22,E65)</f>
        <v>31801785.71</v>
      </c>
      <c r="H65" s="34">
        <f t="shared" si="2"/>
        <v>0</v>
      </c>
      <c r="I65" s="34">
        <f t="shared" si="3"/>
        <v>0</v>
      </c>
      <c r="J65" s="34">
        <f t="shared" si="4"/>
        <v>0</v>
      </c>
    </row>
    <row r="66">
      <c r="A66" s="34" t="s">
        <v>272</v>
      </c>
      <c r="B66" s="35">
        <v>5.0E9</v>
      </c>
      <c r="C66" s="35"/>
      <c r="D66" s="34"/>
      <c r="E66" s="36"/>
      <c r="F66" s="37" t="str">
        <f t="shared" si="1"/>
        <v/>
      </c>
      <c r="G66" s="36">
        <f>IF(F66="",B66*Summary!$C$22,E66)</f>
        <v>31801785.71</v>
      </c>
      <c r="H66" s="34">
        <f t="shared" si="2"/>
        <v>0</v>
      </c>
      <c r="I66" s="34">
        <f t="shared" si="3"/>
        <v>0</v>
      </c>
      <c r="J66" s="34">
        <f t="shared" si="4"/>
        <v>0</v>
      </c>
    </row>
    <row r="67">
      <c r="A67" s="34" t="s">
        <v>273</v>
      </c>
      <c r="B67" s="35">
        <v>4.9E9</v>
      </c>
      <c r="C67" s="35">
        <v>3.19E7</v>
      </c>
      <c r="D67" s="36">
        <v>3.19E7</v>
      </c>
      <c r="E67" s="36">
        <v>3.19E7</v>
      </c>
      <c r="F67" s="37">
        <f t="shared" si="1"/>
        <v>0.006510204082</v>
      </c>
      <c r="G67" s="36">
        <f>IF(F67="",B67*Summary!$C$22,E67)</f>
        <v>31900000</v>
      </c>
      <c r="H67" s="34">
        <f t="shared" si="2"/>
        <v>1</v>
      </c>
      <c r="I67" s="34">
        <f t="shared" si="3"/>
        <v>0</v>
      </c>
      <c r="J67" s="34">
        <f t="shared" si="4"/>
        <v>1</v>
      </c>
    </row>
    <row r="68">
      <c r="A68" s="34" t="s">
        <v>278</v>
      </c>
      <c r="B68" s="35">
        <v>4.9E9</v>
      </c>
      <c r="C68" s="35"/>
      <c r="D68" s="34"/>
      <c r="E68" s="36"/>
      <c r="F68" s="37" t="str">
        <f t="shared" si="1"/>
        <v/>
      </c>
      <c r="G68" s="36">
        <f>IF(F68="",B68*Summary!$C$22,E68)</f>
        <v>31165750</v>
      </c>
      <c r="H68" s="34">
        <f t="shared" si="2"/>
        <v>0</v>
      </c>
      <c r="I68" s="34">
        <f t="shared" si="3"/>
        <v>0</v>
      </c>
      <c r="J68" s="34">
        <f t="shared" si="4"/>
        <v>0</v>
      </c>
    </row>
    <row r="69">
      <c r="A69" s="34" t="s">
        <v>279</v>
      </c>
      <c r="B69" s="35">
        <v>4.8E9</v>
      </c>
      <c r="C69" s="35">
        <v>2.2222762E7</v>
      </c>
      <c r="D69" s="36">
        <v>5.9322762E7</v>
      </c>
      <c r="E69" s="36">
        <v>5.9322762E7</v>
      </c>
      <c r="F69" s="37">
        <f t="shared" si="1"/>
        <v>0.01235890875</v>
      </c>
      <c r="G69" s="36">
        <f>IF(F69="",B69*Summary!$C$22,E69)</f>
        <v>59322762</v>
      </c>
      <c r="H69" s="34">
        <f t="shared" si="2"/>
        <v>1</v>
      </c>
      <c r="I69" s="34">
        <f t="shared" si="3"/>
        <v>0</v>
      </c>
      <c r="J69" s="34">
        <f t="shared" si="4"/>
        <v>1</v>
      </c>
    </row>
    <row r="70">
      <c r="A70" s="34" t="s">
        <v>285</v>
      </c>
      <c r="B70" s="35">
        <v>4.8E9</v>
      </c>
      <c r="C70" s="35">
        <v>6849000.0</v>
      </c>
      <c r="D70" s="36">
        <v>6849000.0</v>
      </c>
      <c r="E70" s="36">
        <v>6849000.0</v>
      </c>
      <c r="F70" s="37">
        <f t="shared" si="1"/>
        <v>0.001426875</v>
      </c>
      <c r="G70" s="36">
        <f>IF(F70="",B70*Summary!$C$22,E70)</f>
        <v>6849000</v>
      </c>
      <c r="H70" s="34">
        <f t="shared" si="2"/>
        <v>1</v>
      </c>
      <c r="I70" s="34">
        <f t="shared" si="3"/>
        <v>0</v>
      </c>
      <c r="J70" s="34">
        <f t="shared" si="4"/>
        <v>1</v>
      </c>
    </row>
    <row r="71">
      <c r="A71" s="34" t="s">
        <v>288</v>
      </c>
      <c r="B71" s="35">
        <v>4.8E9</v>
      </c>
      <c r="C71" s="35">
        <v>5884000.0</v>
      </c>
      <c r="D71" s="36">
        <v>5884000.0</v>
      </c>
      <c r="E71" s="36">
        <v>5884000.0</v>
      </c>
      <c r="F71" s="37">
        <f t="shared" si="1"/>
        <v>0.001225833333</v>
      </c>
      <c r="G71" s="36">
        <f>IF(F71="",B71*Summary!$C$22,E71)</f>
        <v>5884000</v>
      </c>
      <c r="H71" s="34">
        <f t="shared" si="2"/>
        <v>1</v>
      </c>
      <c r="I71" s="34">
        <f t="shared" si="3"/>
        <v>0</v>
      </c>
      <c r="J71" s="34">
        <f t="shared" si="4"/>
        <v>1</v>
      </c>
    </row>
    <row r="72">
      <c r="A72" s="34" t="s">
        <v>291</v>
      </c>
      <c r="B72" s="35">
        <v>4.8E9</v>
      </c>
      <c r="C72" s="35">
        <v>1.3269963E7</v>
      </c>
      <c r="D72" s="36">
        <v>2.5671792E7</v>
      </c>
      <c r="E72" s="36">
        <v>2.5671792E7</v>
      </c>
      <c r="F72" s="37">
        <f t="shared" si="1"/>
        <v>0.00534829</v>
      </c>
      <c r="G72" s="36">
        <f>IF(F72="",B72*Summary!$C$22,E72)</f>
        <v>25671792</v>
      </c>
      <c r="H72" s="34">
        <f t="shared" si="2"/>
        <v>1</v>
      </c>
      <c r="I72" s="34">
        <f t="shared" si="3"/>
        <v>0</v>
      </c>
      <c r="J72" s="34">
        <f t="shared" si="4"/>
        <v>1</v>
      </c>
    </row>
    <row r="73">
      <c r="A73" s="34" t="s">
        <v>295</v>
      </c>
      <c r="B73" s="35">
        <v>4.8E9</v>
      </c>
      <c r="C73" s="35">
        <v>7809894.0</v>
      </c>
      <c r="D73" s="36">
        <v>9.0E7</v>
      </c>
      <c r="E73" s="36">
        <v>9.0E7</v>
      </c>
      <c r="F73" s="37">
        <f t="shared" si="1"/>
        <v>0.01875</v>
      </c>
      <c r="G73" s="36">
        <f>IF(F73="",B73*Summary!$C$22,E73)</f>
        <v>90000000</v>
      </c>
      <c r="H73" s="34">
        <f t="shared" si="2"/>
        <v>1</v>
      </c>
      <c r="I73" s="34">
        <f t="shared" si="3"/>
        <v>0</v>
      </c>
      <c r="J73" s="34">
        <f t="shared" si="4"/>
        <v>1</v>
      </c>
    </row>
    <row r="74">
      <c r="A74" s="34" t="s">
        <v>299</v>
      </c>
      <c r="B74" s="35">
        <v>4.5E9</v>
      </c>
      <c r="C74" s="35"/>
      <c r="D74" s="34"/>
      <c r="E74" s="36"/>
      <c r="F74" s="37" t="str">
        <f t="shared" si="1"/>
        <v/>
      </c>
      <c r="G74" s="36">
        <f>IF(F74="",B74*Summary!$C$22,E74)</f>
        <v>28621607.14</v>
      </c>
      <c r="H74" s="34">
        <f t="shared" si="2"/>
        <v>0</v>
      </c>
      <c r="I74" s="34">
        <f t="shared" si="3"/>
        <v>0</v>
      </c>
      <c r="J74" s="34">
        <f t="shared" si="4"/>
        <v>0</v>
      </c>
    </row>
    <row r="75">
      <c r="A75" s="34" t="s">
        <v>301</v>
      </c>
      <c r="B75" s="35">
        <v>4.4E9</v>
      </c>
      <c r="C75" s="35"/>
      <c r="D75" s="34"/>
      <c r="E75" s="36"/>
      <c r="F75" s="37" t="str">
        <f t="shared" si="1"/>
        <v/>
      </c>
      <c r="G75" s="36">
        <f>IF(F75="",B75*Summary!$C$22,E75)</f>
        <v>27985571.43</v>
      </c>
      <c r="H75" s="34">
        <f t="shared" si="2"/>
        <v>0</v>
      </c>
      <c r="I75" s="34">
        <f t="shared" si="3"/>
        <v>0</v>
      </c>
      <c r="J75" s="34">
        <f t="shared" si="4"/>
        <v>0</v>
      </c>
    </row>
    <row r="76">
      <c r="A76" s="34" t="s">
        <v>304</v>
      </c>
      <c r="B76" s="35">
        <v>4.4E9</v>
      </c>
      <c r="C76" s="35">
        <v>1.95E8</v>
      </c>
      <c r="D76" s="36">
        <v>1.95E8</v>
      </c>
      <c r="E76" s="36">
        <v>1.95E8</v>
      </c>
      <c r="F76" s="37">
        <f t="shared" si="1"/>
        <v>0.04431818182</v>
      </c>
      <c r="G76" s="36">
        <f>IF(F76="",B76*Summary!$C$22,E76)</f>
        <v>195000000</v>
      </c>
      <c r="H76" s="34">
        <f t="shared" si="2"/>
        <v>1</v>
      </c>
      <c r="I76" s="34">
        <f t="shared" si="3"/>
        <v>0</v>
      </c>
      <c r="J76" s="34">
        <f t="shared" si="4"/>
        <v>1</v>
      </c>
    </row>
    <row r="77">
      <c r="A77" s="34" t="s">
        <v>306</v>
      </c>
      <c r="B77" s="35">
        <v>4.3E9</v>
      </c>
      <c r="C77" s="35"/>
      <c r="D77" s="34"/>
      <c r="E77" s="36"/>
      <c r="F77" s="37" t="str">
        <f t="shared" si="1"/>
        <v/>
      </c>
      <c r="G77" s="36">
        <f>IF(F77="",B77*Summary!$C$22,E77)</f>
        <v>27349535.71</v>
      </c>
      <c r="H77" s="34">
        <f t="shared" si="2"/>
        <v>0</v>
      </c>
      <c r="I77" s="34">
        <f t="shared" si="3"/>
        <v>0</v>
      </c>
      <c r="J77" s="34">
        <f t="shared" si="4"/>
        <v>0</v>
      </c>
    </row>
    <row r="78">
      <c r="A78" s="34" t="s">
        <v>309</v>
      </c>
      <c r="B78" s="35">
        <v>4.3E9</v>
      </c>
      <c r="C78" s="35">
        <v>1.1443465E7</v>
      </c>
      <c r="D78" s="36">
        <v>2.9825465E7</v>
      </c>
      <c r="E78" s="36">
        <v>2.9825465E7</v>
      </c>
      <c r="F78" s="37">
        <f t="shared" si="1"/>
        <v>0.006936154651</v>
      </c>
      <c r="G78" s="36">
        <f>IF(F78="",B78*Summary!$C$22,E78)</f>
        <v>29825465</v>
      </c>
      <c r="H78" s="34">
        <f t="shared" si="2"/>
        <v>1</v>
      </c>
      <c r="I78" s="34">
        <f t="shared" si="3"/>
        <v>0</v>
      </c>
      <c r="J78" s="34">
        <f t="shared" si="4"/>
        <v>1</v>
      </c>
    </row>
    <row r="79">
      <c r="A79" s="34" t="s">
        <v>314</v>
      </c>
      <c r="B79" s="35">
        <v>4.1E9</v>
      </c>
      <c r="C79" s="35"/>
      <c r="D79" s="34"/>
      <c r="E79" s="36"/>
      <c r="F79" s="37" t="str">
        <f t="shared" si="1"/>
        <v/>
      </c>
      <c r="G79" s="36">
        <f>IF(F79="",B79*Summary!$C$22,E79)</f>
        <v>26077464.29</v>
      </c>
      <c r="H79" s="34">
        <f t="shared" si="2"/>
        <v>0</v>
      </c>
      <c r="I79" s="34">
        <f t="shared" si="3"/>
        <v>0</v>
      </c>
      <c r="J79" s="34">
        <f t="shared" si="4"/>
        <v>0</v>
      </c>
    </row>
    <row r="80">
      <c r="A80" s="34" t="s">
        <v>316</v>
      </c>
      <c r="B80" s="35">
        <v>4.0E9</v>
      </c>
      <c r="C80" s="35"/>
      <c r="D80" s="34"/>
      <c r="E80" s="36"/>
      <c r="F80" s="37" t="str">
        <f t="shared" si="1"/>
        <v/>
      </c>
      <c r="G80" s="36">
        <f>IF(F80="",B80*Summary!$C$22,E80)</f>
        <v>25441428.57</v>
      </c>
      <c r="H80" s="34">
        <f t="shared" si="2"/>
        <v>0</v>
      </c>
      <c r="I80" s="34">
        <f t="shared" si="3"/>
        <v>0</v>
      </c>
      <c r="J80" s="34">
        <f t="shared" si="4"/>
        <v>0</v>
      </c>
    </row>
    <row r="81">
      <c r="A81" s="34" t="s">
        <v>319</v>
      </c>
      <c r="B81" s="35">
        <v>4.0E9</v>
      </c>
      <c r="C81" s="35"/>
      <c r="D81" s="34"/>
      <c r="E81" s="36"/>
      <c r="F81" s="37" t="str">
        <f t="shared" si="1"/>
        <v/>
      </c>
      <c r="G81" s="36">
        <f>IF(F81="",B81*Summary!$C$22,E81)</f>
        <v>25441428.57</v>
      </c>
      <c r="H81" s="34">
        <f t="shared" si="2"/>
        <v>0</v>
      </c>
      <c r="I81" s="34">
        <f t="shared" si="3"/>
        <v>0</v>
      </c>
      <c r="J81" s="34">
        <f t="shared" si="4"/>
        <v>0</v>
      </c>
    </row>
    <row r="82">
      <c r="A82" s="34" t="s">
        <v>320</v>
      </c>
      <c r="B82" s="35">
        <v>3.8E9</v>
      </c>
      <c r="C82" s="35">
        <v>5.0E7</v>
      </c>
      <c r="D82" s="36">
        <v>5.0E7</v>
      </c>
      <c r="E82" s="36">
        <v>5.0E7</v>
      </c>
      <c r="F82" s="37">
        <f t="shared" si="1"/>
        <v>0.01315789474</v>
      </c>
      <c r="G82" s="36">
        <f>IF(F82="",B82*Summary!$C$22,E82)</f>
        <v>50000000</v>
      </c>
      <c r="H82" s="34">
        <f t="shared" si="2"/>
        <v>1</v>
      </c>
      <c r="I82" s="34">
        <f t="shared" si="3"/>
        <v>0</v>
      </c>
      <c r="J82" s="34">
        <f t="shared" si="4"/>
        <v>1</v>
      </c>
    </row>
    <row r="83">
      <c r="A83" s="34" t="s">
        <v>323</v>
      </c>
      <c r="B83" s="35">
        <v>3.8E9</v>
      </c>
      <c r="C83" s="35">
        <v>6500000.0</v>
      </c>
      <c r="D83" s="36">
        <v>6500000.0</v>
      </c>
      <c r="E83" s="36">
        <v>6500000.0</v>
      </c>
      <c r="F83" s="37">
        <f t="shared" si="1"/>
        <v>0.001710526316</v>
      </c>
      <c r="G83" s="36">
        <f>IF(F83="",B83*Summary!$C$22,E83)</f>
        <v>6500000</v>
      </c>
      <c r="H83" s="34">
        <f t="shared" si="2"/>
        <v>1</v>
      </c>
      <c r="I83" s="34">
        <f t="shared" si="3"/>
        <v>0</v>
      </c>
      <c r="J83" s="34">
        <f t="shared" si="4"/>
        <v>1</v>
      </c>
    </row>
    <row r="84">
      <c r="A84" s="34" t="s">
        <v>326</v>
      </c>
      <c r="B84" s="35">
        <v>3.8E9</v>
      </c>
      <c r="C84" s="35">
        <v>2.1E7</v>
      </c>
      <c r="D84" s="34"/>
      <c r="E84" s="36">
        <v>2.1E7</v>
      </c>
      <c r="F84" s="37">
        <f t="shared" si="1"/>
        <v>0.005526315789</v>
      </c>
      <c r="G84" s="36">
        <f>IF(F84="",B84*Summary!$C$22,E84)</f>
        <v>21000000</v>
      </c>
      <c r="H84" s="34">
        <f t="shared" si="2"/>
        <v>1</v>
      </c>
      <c r="I84" s="34">
        <f t="shared" si="3"/>
        <v>1</v>
      </c>
      <c r="J84" s="34">
        <f t="shared" si="4"/>
        <v>0</v>
      </c>
    </row>
    <row r="85">
      <c r="A85" s="34" t="s">
        <v>328</v>
      </c>
      <c r="B85" s="35">
        <v>3.8E9</v>
      </c>
      <c r="C85" s="35">
        <v>1977425.0</v>
      </c>
      <c r="D85" s="34"/>
      <c r="E85" s="36">
        <v>1977425.0</v>
      </c>
      <c r="F85" s="37">
        <f t="shared" si="1"/>
        <v>0.000520375</v>
      </c>
      <c r="G85" s="36">
        <f>IF(F85="",B85*Summary!$C$22,E85)</f>
        <v>1977425</v>
      </c>
      <c r="H85" s="34">
        <f t="shared" si="2"/>
        <v>1</v>
      </c>
      <c r="I85" s="34">
        <f t="shared" si="3"/>
        <v>1</v>
      </c>
      <c r="J85" s="34">
        <f t="shared" si="4"/>
        <v>0</v>
      </c>
    </row>
    <row r="86">
      <c r="A86" s="34" t="s">
        <v>332</v>
      </c>
      <c r="B86" s="35">
        <v>3.7E9</v>
      </c>
      <c r="C86" s="35">
        <v>2.925E7</v>
      </c>
      <c r="D86" s="34"/>
      <c r="E86" s="36">
        <v>2.925E7</v>
      </c>
      <c r="F86" s="37">
        <f t="shared" si="1"/>
        <v>0.007905405405</v>
      </c>
      <c r="G86" s="36">
        <f>IF(F86="",B86*Summary!$C$22,E86)</f>
        <v>29250000</v>
      </c>
      <c r="H86" s="34">
        <f t="shared" si="2"/>
        <v>1</v>
      </c>
      <c r="I86" s="34">
        <f t="shared" si="3"/>
        <v>1</v>
      </c>
      <c r="J86" s="34">
        <f t="shared" si="4"/>
        <v>0</v>
      </c>
    </row>
    <row r="87">
      <c r="A87" s="34" t="s">
        <v>336</v>
      </c>
      <c r="B87" s="35">
        <v>3.7E9</v>
      </c>
      <c r="C87" s="35">
        <v>3.0E7</v>
      </c>
      <c r="D87" s="34"/>
      <c r="E87" s="36">
        <v>3.0E7</v>
      </c>
      <c r="F87" s="37">
        <f t="shared" si="1"/>
        <v>0.008108108108</v>
      </c>
      <c r="G87" s="36">
        <f>IF(F87="",B87*Summary!$C$22,E87)</f>
        <v>30000000</v>
      </c>
      <c r="H87" s="34">
        <f t="shared" si="2"/>
        <v>1</v>
      </c>
      <c r="I87" s="34">
        <f t="shared" si="3"/>
        <v>1</v>
      </c>
      <c r="J87" s="34">
        <f t="shared" si="4"/>
        <v>0</v>
      </c>
    </row>
    <row r="88">
      <c r="A88" s="34" t="s">
        <v>338</v>
      </c>
      <c r="B88" s="35">
        <v>3.7E9</v>
      </c>
      <c r="C88" s="35"/>
      <c r="D88" s="34"/>
      <c r="E88" s="36"/>
      <c r="F88" s="37" t="str">
        <f t="shared" si="1"/>
        <v/>
      </c>
      <c r="G88" s="36">
        <f>IF(F88="",B88*Summary!$C$22,E88)</f>
        <v>23533321.43</v>
      </c>
      <c r="H88" s="34">
        <f t="shared" si="2"/>
        <v>0</v>
      </c>
      <c r="I88" s="34">
        <f t="shared" si="3"/>
        <v>0</v>
      </c>
      <c r="J88" s="34">
        <f t="shared" si="4"/>
        <v>0</v>
      </c>
    </row>
    <row r="89">
      <c r="A89" s="34" t="s">
        <v>340</v>
      </c>
      <c r="B89" s="35">
        <v>3.7E9</v>
      </c>
      <c r="C89" s="35"/>
      <c r="D89" s="34"/>
      <c r="E89" s="36"/>
      <c r="F89" s="37" t="str">
        <f t="shared" si="1"/>
        <v/>
      </c>
      <c r="G89" s="36">
        <f>IF(F89="",B89*Summary!$C$22,E89)</f>
        <v>23533321.43</v>
      </c>
      <c r="H89" s="34">
        <f t="shared" si="2"/>
        <v>0</v>
      </c>
      <c r="I89" s="34">
        <f t="shared" si="3"/>
        <v>0</v>
      </c>
      <c r="J89" s="34">
        <f t="shared" si="4"/>
        <v>0</v>
      </c>
    </row>
    <row r="90">
      <c r="A90" s="34" t="s">
        <v>341</v>
      </c>
      <c r="B90" s="35">
        <v>3.7E9</v>
      </c>
      <c r="C90" s="35">
        <v>2572000.0</v>
      </c>
      <c r="D90" s="34"/>
      <c r="E90" s="36">
        <v>2572000.0</v>
      </c>
      <c r="F90" s="37">
        <f t="shared" si="1"/>
        <v>0.0006951351351</v>
      </c>
      <c r="G90" s="36">
        <f>IF(F90="",B90*Summary!$C$22,E90)</f>
        <v>2572000</v>
      </c>
      <c r="H90" s="34">
        <f t="shared" si="2"/>
        <v>1</v>
      </c>
      <c r="I90" s="34">
        <f t="shared" si="3"/>
        <v>1</v>
      </c>
      <c r="J90" s="34">
        <f t="shared" si="4"/>
        <v>0</v>
      </c>
    </row>
    <row r="91">
      <c r="A91" s="34" t="s">
        <v>344</v>
      </c>
      <c r="B91" s="35">
        <v>3.7E9</v>
      </c>
      <c r="C91" s="35"/>
      <c r="D91" s="34"/>
      <c r="E91" s="36"/>
      <c r="F91" s="37" t="str">
        <f t="shared" si="1"/>
        <v/>
      </c>
      <c r="G91" s="36">
        <f>IF(F91="",B91*Summary!$C$22,E91)</f>
        <v>23533321.43</v>
      </c>
      <c r="H91" s="34">
        <f t="shared" si="2"/>
        <v>0</v>
      </c>
      <c r="I91" s="34">
        <f t="shared" si="3"/>
        <v>0</v>
      </c>
      <c r="J91" s="34">
        <f t="shared" si="4"/>
        <v>0</v>
      </c>
    </row>
    <row r="92">
      <c r="A92" s="34" t="s">
        <v>345</v>
      </c>
      <c r="B92" s="35">
        <v>3.7E9</v>
      </c>
      <c r="C92" s="35">
        <v>4831145.0</v>
      </c>
      <c r="D92" s="34"/>
      <c r="E92" s="36">
        <v>4831145.0</v>
      </c>
      <c r="F92" s="37">
        <f t="shared" si="1"/>
        <v>0.001305714865</v>
      </c>
      <c r="G92" s="36">
        <f>IF(F92="",B92*Summary!$C$22,E92)</f>
        <v>4831145</v>
      </c>
      <c r="H92" s="34">
        <f t="shared" si="2"/>
        <v>1</v>
      </c>
      <c r="I92" s="34">
        <f t="shared" si="3"/>
        <v>1</v>
      </c>
      <c r="J92" s="34">
        <f t="shared" si="4"/>
        <v>0</v>
      </c>
    </row>
    <row r="93">
      <c r="A93" s="34" t="s">
        <v>348</v>
      </c>
      <c r="B93" s="35">
        <v>3.7E9</v>
      </c>
      <c r="C93" s="35"/>
      <c r="D93" s="34"/>
      <c r="E93" s="36"/>
      <c r="F93" s="37" t="str">
        <f t="shared" si="1"/>
        <v/>
      </c>
      <c r="G93" s="36">
        <f>IF(F93="",B93*Summary!$C$22,E93)</f>
        <v>23533321.43</v>
      </c>
      <c r="H93" s="34">
        <f t="shared" si="2"/>
        <v>0</v>
      </c>
      <c r="I93" s="34">
        <f t="shared" si="3"/>
        <v>0</v>
      </c>
      <c r="J93" s="34">
        <f t="shared" si="4"/>
        <v>0</v>
      </c>
    </row>
    <row r="94">
      <c r="A94" s="34" t="s">
        <v>349</v>
      </c>
      <c r="B94" s="35">
        <v>3.6E9</v>
      </c>
      <c r="C94" s="35">
        <v>1.2982483E7</v>
      </c>
      <c r="D94" s="34"/>
      <c r="E94" s="36">
        <v>1.2982483E7</v>
      </c>
      <c r="F94" s="37">
        <f t="shared" si="1"/>
        <v>0.003606245278</v>
      </c>
      <c r="G94" s="36">
        <f>IF(F94="",B94*Summary!$C$22,E94)</f>
        <v>12982483</v>
      </c>
      <c r="H94" s="34">
        <f t="shared" si="2"/>
        <v>1</v>
      </c>
      <c r="I94" s="34">
        <f t="shared" si="3"/>
        <v>1</v>
      </c>
      <c r="J94" s="34">
        <f t="shared" si="4"/>
        <v>0</v>
      </c>
    </row>
    <row r="95">
      <c r="A95" s="34" t="s">
        <v>353</v>
      </c>
      <c r="B95" s="35">
        <v>3.6E9</v>
      </c>
      <c r="C95" s="35"/>
      <c r="D95" s="34"/>
      <c r="E95" s="36"/>
      <c r="F95" s="37" t="str">
        <f t="shared" si="1"/>
        <v/>
      </c>
      <c r="G95" s="36">
        <f>IF(F95="",B95*Summary!$C$22,E95)</f>
        <v>22897285.71</v>
      </c>
      <c r="H95" s="34">
        <f t="shared" si="2"/>
        <v>0</v>
      </c>
      <c r="I95" s="34">
        <f t="shared" si="3"/>
        <v>0</v>
      </c>
      <c r="J95" s="34">
        <f t="shared" si="4"/>
        <v>0</v>
      </c>
    </row>
    <row r="96">
      <c r="A96" s="34" t="s">
        <v>355</v>
      </c>
      <c r="B96" s="35">
        <v>3.6E9</v>
      </c>
      <c r="C96" s="35">
        <v>1.3784748E7</v>
      </c>
      <c r="D96" s="34"/>
      <c r="E96" s="36">
        <v>1.3784748E7</v>
      </c>
      <c r="F96" s="37">
        <f t="shared" si="1"/>
        <v>0.003829096667</v>
      </c>
      <c r="G96" s="36">
        <f>IF(F96="",B96*Summary!$C$22,E96)</f>
        <v>13784748</v>
      </c>
      <c r="H96" s="34">
        <f t="shared" si="2"/>
        <v>1</v>
      </c>
      <c r="I96" s="34">
        <f t="shared" si="3"/>
        <v>1</v>
      </c>
      <c r="J96" s="34">
        <f t="shared" si="4"/>
        <v>0</v>
      </c>
    </row>
    <row r="97">
      <c r="A97" s="34" t="s">
        <v>358</v>
      </c>
      <c r="B97" s="35">
        <v>3.5E9</v>
      </c>
      <c r="C97" s="35"/>
      <c r="D97" s="34"/>
      <c r="E97" s="36"/>
      <c r="F97" s="37" t="str">
        <f t="shared" si="1"/>
        <v/>
      </c>
      <c r="G97" s="36">
        <f>IF(F97="",B97*Summary!$C$22,E97)</f>
        <v>22261250</v>
      </c>
      <c r="H97" s="34">
        <f t="shared" si="2"/>
        <v>0</v>
      </c>
      <c r="I97" s="34">
        <f t="shared" si="3"/>
        <v>0</v>
      </c>
      <c r="J97" s="34">
        <f t="shared" si="4"/>
        <v>0</v>
      </c>
    </row>
    <row r="98">
      <c r="A98" s="34" t="s">
        <v>360</v>
      </c>
      <c r="B98" s="35">
        <v>3.5E9</v>
      </c>
      <c r="C98" s="35">
        <v>8.6E7</v>
      </c>
      <c r="D98" s="34"/>
      <c r="E98" s="36">
        <v>8.6E7</v>
      </c>
      <c r="F98" s="37">
        <f t="shared" si="1"/>
        <v>0.02457142857</v>
      </c>
      <c r="G98" s="36">
        <f>IF(F98="",B98*Summary!$C$22,E98)</f>
        <v>86000000</v>
      </c>
      <c r="H98" s="34">
        <f t="shared" si="2"/>
        <v>1</v>
      </c>
      <c r="I98" s="34">
        <f t="shared" si="3"/>
        <v>1</v>
      </c>
      <c r="J98" s="34">
        <f t="shared" si="4"/>
        <v>0</v>
      </c>
    </row>
    <row r="99">
      <c r="A99" s="34" t="s">
        <v>363</v>
      </c>
      <c r="B99" s="35">
        <v>3.5E9</v>
      </c>
      <c r="C99" s="35">
        <v>4.33E7</v>
      </c>
      <c r="D99" s="34"/>
      <c r="E99" s="36">
        <v>4.33E7</v>
      </c>
      <c r="F99" s="37">
        <f t="shared" si="1"/>
        <v>0.01237142857</v>
      </c>
      <c r="G99" s="36">
        <f>IF(F99="",B99*Summary!$C$22,E99)</f>
        <v>43300000</v>
      </c>
      <c r="H99" s="34">
        <f t="shared" si="2"/>
        <v>1</v>
      </c>
      <c r="I99" s="34">
        <f t="shared" si="3"/>
        <v>1</v>
      </c>
      <c r="J99" s="34">
        <f t="shared" si="4"/>
        <v>0</v>
      </c>
    </row>
    <row r="100">
      <c r="A100" s="34" t="s">
        <v>365</v>
      </c>
      <c r="B100" s="35">
        <v>3.5E9</v>
      </c>
      <c r="C100" s="35">
        <v>1.25E7</v>
      </c>
      <c r="D100" s="34"/>
      <c r="E100" s="36">
        <v>1.25E7</v>
      </c>
      <c r="F100" s="37">
        <f t="shared" si="1"/>
        <v>0.003571428571</v>
      </c>
      <c r="G100" s="36">
        <f>IF(F100="",B100*Summary!$C$22,E100)</f>
        <v>12500000</v>
      </c>
      <c r="H100" s="34">
        <f t="shared" si="2"/>
        <v>1</v>
      </c>
      <c r="I100" s="34">
        <f t="shared" si="3"/>
        <v>1</v>
      </c>
      <c r="J100" s="34">
        <f t="shared" si="4"/>
        <v>0</v>
      </c>
    </row>
    <row r="101">
      <c r="A101" s="34" t="s">
        <v>369</v>
      </c>
      <c r="B101" s="35">
        <v>3.4E9</v>
      </c>
      <c r="C101" s="35"/>
      <c r="D101" s="34"/>
      <c r="E101" s="36"/>
      <c r="F101" s="37" t="str">
        <f t="shared" si="1"/>
        <v/>
      </c>
      <c r="G101" s="36">
        <f>IF(F101="",B101*Summary!$C$22,E101)</f>
        <v>21625214.29</v>
      </c>
      <c r="H101" s="34">
        <f t="shared" si="2"/>
        <v>0</v>
      </c>
      <c r="I101" s="34">
        <f t="shared" si="3"/>
        <v>0</v>
      </c>
      <c r="J101" s="34">
        <f t="shared" si="4"/>
        <v>0</v>
      </c>
    </row>
    <row r="102">
      <c r="A102" s="34" t="s">
        <v>371</v>
      </c>
      <c r="B102" s="35">
        <v>3.3E9</v>
      </c>
      <c r="C102" s="35">
        <v>1.02433E7</v>
      </c>
      <c r="D102" s="34"/>
      <c r="E102" s="36">
        <v>1.02433E7</v>
      </c>
      <c r="F102" s="37">
        <f t="shared" si="1"/>
        <v>0.003104030303</v>
      </c>
      <c r="G102" s="36">
        <f>IF(F102="",B102*Summary!$C$22,E102)</f>
        <v>10243300</v>
      </c>
      <c r="H102" s="34">
        <f t="shared" si="2"/>
        <v>1</v>
      </c>
      <c r="I102" s="34">
        <f t="shared" si="3"/>
        <v>1</v>
      </c>
      <c r="J102" s="34">
        <f t="shared" si="4"/>
        <v>0</v>
      </c>
    </row>
    <row r="103">
      <c r="A103" s="34" t="s">
        <v>375</v>
      </c>
      <c r="B103" s="35">
        <v>3.2E9</v>
      </c>
      <c r="C103" s="35">
        <v>4.2E7</v>
      </c>
      <c r="D103" s="34"/>
      <c r="E103" s="36">
        <v>4.2E7</v>
      </c>
      <c r="F103" s="37">
        <f t="shared" si="1"/>
        <v>0.013125</v>
      </c>
      <c r="G103" s="36">
        <f>IF(F103="",B103*Summary!$C$22,E103)</f>
        <v>42000000</v>
      </c>
      <c r="H103" s="34">
        <f t="shared" si="2"/>
        <v>1</v>
      </c>
      <c r="I103" s="34">
        <f t="shared" si="3"/>
        <v>1</v>
      </c>
      <c r="J103" s="34">
        <f t="shared" si="4"/>
        <v>0</v>
      </c>
    </row>
    <row r="104">
      <c r="A104" s="34" t="s">
        <v>379</v>
      </c>
      <c r="B104" s="35">
        <v>3.2E9</v>
      </c>
      <c r="C104" s="35">
        <v>2.825E7</v>
      </c>
      <c r="D104" s="34"/>
      <c r="E104" s="36">
        <v>2.825E7</v>
      </c>
      <c r="F104" s="37">
        <f t="shared" si="1"/>
        <v>0.008828125</v>
      </c>
      <c r="G104" s="36">
        <f>IF(F104="",B104*Summary!$C$22,E104)</f>
        <v>28250000</v>
      </c>
      <c r="H104" s="34">
        <f t="shared" si="2"/>
        <v>1</v>
      </c>
      <c r="I104" s="34">
        <f t="shared" si="3"/>
        <v>1</v>
      </c>
      <c r="J104" s="34">
        <f t="shared" si="4"/>
        <v>0</v>
      </c>
    </row>
    <row r="105">
      <c r="A105" s="34" t="s">
        <v>381</v>
      </c>
      <c r="B105" s="35">
        <v>3.2E9</v>
      </c>
      <c r="C105" s="35"/>
      <c r="D105" s="34"/>
      <c r="E105" s="36"/>
      <c r="F105" s="37" t="str">
        <f t="shared" si="1"/>
        <v/>
      </c>
      <c r="G105" s="36">
        <f>IF(F105="",B105*Summary!$C$22,E105)</f>
        <v>20353142.86</v>
      </c>
      <c r="H105" s="34">
        <f t="shared" si="2"/>
        <v>0</v>
      </c>
      <c r="I105" s="34">
        <f t="shared" si="3"/>
        <v>0</v>
      </c>
      <c r="J105" s="34">
        <f t="shared" si="4"/>
        <v>0</v>
      </c>
    </row>
    <row r="106">
      <c r="A106" s="34" t="s">
        <v>382</v>
      </c>
      <c r="B106" s="35">
        <v>3.2E9</v>
      </c>
      <c r="C106" s="35">
        <v>5.75E7</v>
      </c>
      <c r="D106" s="34"/>
      <c r="E106" s="36">
        <v>5.75E7</v>
      </c>
      <c r="F106" s="37">
        <f t="shared" si="1"/>
        <v>0.01796875</v>
      </c>
      <c r="G106" s="36">
        <f>IF(F106="",B106*Summary!$C$22,E106)</f>
        <v>57500000</v>
      </c>
      <c r="H106" s="34">
        <f t="shared" si="2"/>
        <v>1</v>
      </c>
      <c r="I106" s="34">
        <f t="shared" si="3"/>
        <v>1</v>
      </c>
      <c r="J106" s="34">
        <f t="shared" si="4"/>
        <v>0</v>
      </c>
    </row>
    <row r="107">
      <c r="A107" s="34" t="s">
        <v>384</v>
      </c>
      <c r="B107" s="35">
        <v>3.2E9</v>
      </c>
      <c r="C107" s="35"/>
      <c r="D107" s="34"/>
      <c r="E107" s="36"/>
      <c r="F107" s="37" t="str">
        <f t="shared" si="1"/>
        <v/>
      </c>
      <c r="G107" s="36">
        <f>IF(F107="",B107*Summary!$C$22,E107)</f>
        <v>20353142.86</v>
      </c>
      <c r="H107" s="34">
        <f t="shared" si="2"/>
        <v>0</v>
      </c>
      <c r="I107" s="34">
        <f t="shared" si="3"/>
        <v>0</v>
      </c>
      <c r="J107" s="34">
        <f t="shared" si="4"/>
        <v>0</v>
      </c>
    </row>
    <row r="108">
      <c r="A108" s="34" t="s">
        <v>385</v>
      </c>
      <c r="B108" s="35">
        <v>3.2E9</v>
      </c>
      <c r="C108" s="35"/>
      <c r="D108" s="34"/>
      <c r="E108" s="36"/>
      <c r="F108" s="37" t="str">
        <f t="shared" si="1"/>
        <v/>
      </c>
      <c r="G108" s="36">
        <f>IF(F108="",B108*Summary!$C$22,E108)</f>
        <v>20353142.86</v>
      </c>
      <c r="H108" s="34">
        <f t="shared" si="2"/>
        <v>0</v>
      </c>
      <c r="I108" s="34">
        <f t="shared" si="3"/>
        <v>0</v>
      </c>
      <c r="J108" s="34">
        <f t="shared" si="4"/>
        <v>0</v>
      </c>
    </row>
    <row r="109">
      <c r="A109" s="34" t="s">
        <v>386</v>
      </c>
      <c r="B109" s="35">
        <v>3.1E9</v>
      </c>
      <c r="C109" s="35">
        <v>1.5563106E7</v>
      </c>
      <c r="D109" s="34"/>
      <c r="E109" s="36">
        <v>1.5563106E7</v>
      </c>
      <c r="F109" s="37">
        <f t="shared" si="1"/>
        <v>0.005020356774</v>
      </c>
      <c r="G109" s="36">
        <f>IF(F109="",B109*Summary!$C$22,E109)</f>
        <v>15563106</v>
      </c>
      <c r="H109" s="34">
        <f t="shared" si="2"/>
        <v>1</v>
      </c>
      <c r="I109" s="34">
        <f t="shared" si="3"/>
        <v>1</v>
      </c>
      <c r="J109" s="34">
        <f t="shared" si="4"/>
        <v>0</v>
      </c>
    </row>
    <row r="110">
      <c r="A110" s="34" t="s">
        <v>390</v>
      </c>
      <c r="B110" s="35">
        <v>3.1E9</v>
      </c>
      <c r="C110" s="35">
        <v>5.0E7</v>
      </c>
      <c r="D110" s="36">
        <v>1.5E8</v>
      </c>
      <c r="E110" s="36">
        <v>1.5E8</v>
      </c>
      <c r="F110" s="37">
        <f t="shared" si="1"/>
        <v>0.04838709677</v>
      </c>
      <c r="G110" s="36">
        <f>IF(F110="",B110*Summary!$C$22,E110)</f>
        <v>150000000</v>
      </c>
      <c r="H110" s="34">
        <f t="shared" si="2"/>
        <v>1</v>
      </c>
      <c r="I110" s="34">
        <f t="shared" si="3"/>
        <v>0</v>
      </c>
      <c r="J110" s="34">
        <f t="shared" si="4"/>
        <v>1</v>
      </c>
    </row>
    <row r="111">
      <c r="A111" s="34" t="s">
        <v>395</v>
      </c>
      <c r="B111" s="35">
        <v>3.0E9</v>
      </c>
      <c r="C111" s="35"/>
      <c r="D111" s="34"/>
      <c r="E111" s="36"/>
      <c r="F111" s="37" t="str">
        <f t="shared" si="1"/>
        <v/>
      </c>
      <c r="G111" s="36">
        <f>IF(F111="",B111*Summary!$C$22,E111)</f>
        <v>19081071.43</v>
      </c>
      <c r="H111" s="34">
        <f t="shared" si="2"/>
        <v>0</v>
      </c>
      <c r="I111" s="34">
        <f t="shared" si="3"/>
        <v>0</v>
      </c>
      <c r="J111" s="34">
        <f t="shared" si="4"/>
        <v>0</v>
      </c>
    </row>
    <row r="112">
      <c r="A112" s="34" t="s">
        <v>397</v>
      </c>
      <c r="B112" s="35">
        <v>3.0E9</v>
      </c>
      <c r="C112" s="35">
        <v>5.5E7</v>
      </c>
      <c r="D112" s="34"/>
      <c r="E112" s="36">
        <v>5.5E7</v>
      </c>
      <c r="F112" s="37">
        <f t="shared" si="1"/>
        <v>0.01833333333</v>
      </c>
      <c r="G112" s="36">
        <f>IF(F112="",B112*Summary!$C$22,E112)</f>
        <v>55000000</v>
      </c>
      <c r="H112" s="34">
        <f t="shared" si="2"/>
        <v>1</v>
      </c>
      <c r="I112" s="34">
        <f t="shared" si="3"/>
        <v>1</v>
      </c>
      <c r="J112" s="34">
        <f t="shared" si="4"/>
        <v>0</v>
      </c>
    </row>
    <row r="113">
      <c r="A113" s="34" t="s">
        <v>399</v>
      </c>
      <c r="B113" s="35">
        <v>2.9E9</v>
      </c>
      <c r="C113" s="35">
        <v>6.31E7</v>
      </c>
      <c r="D113" s="34"/>
      <c r="E113" s="36">
        <v>6.31E7</v>
      </c>
      <c r="F113" s="37">
        <f t="shared" si="1"/>
        <v>0.02175862069</v>
      </c>
      <c r="G113" s="36">
        <f>IF(F113="",B113*Summary!$C$22,E113)</f>
        <v>63100000</v>
      </c>
      <c r="H113" s="34">
        <f t="shared" si="2"/>
        <v>1</v>
      </c>
      <c r="I113" s="34">
        <f t="shared" si="3"/>
        <v>1</v>
      </c>
      <c r="J113" s="34">
        <f t="shared" si="4"/>
        <v>0</v>
      </c>
    </row>
    <row r="114">
      <c r="A114" s="34" t="s">
        <v>402</v>
      </c>
      <c r="B114" s="35">
        <v>2.9E9</v>
      </c>
      <c r="C114" s="35">
        <v>1.2072842E7</v>
      </c>
      <c r="D114" s="34"/>
      <c r="E114" s="36">
        <v>1.2072842E7</v>
      </c>
      <c r="F114" s="37">
        <f t="shared" si="1"/>
        <v>0.004163048966</v>
      </c>
      <c r="G114" s="36">
        <f>IF(F114="",B114*Summary!$C$22,E114)</f>
        <v>12072842</v>
      </c>
      <c r="H114" s="34">
        <f t="shared" si="2"/>
        <v>1</v>
      </c>
      <c r="I114" s="34">
        <f t="shared" si="3"/>
        <v>1</v>
      </c>
      <c r="J114" s="34">
        <f t="shared" si="4"/>
        <v>0</v>
      </c>
    </row>
    <row r="115">
      <c r="A115" s="34" t="s">
        <v>405</v>
      </c>
      <c r="B115" s="35">
        <v>2.8E9</v>
      </c>
      <c r="C115" s="35">
        <v>1.7197E7</v>
      </c>
      <c r="D115" s="34"/>
      <c r="E115" s="36">
        <v>1.7197E7</v>
      </c>
      <c r="F115" s="37">
        <f t="shared" si="1"/>
        <v>0.006141785714</v>
      </c>
      <c r="G115" s="36">
        <f>IF(F115="",B115*Summary!$C$22,E115)</f>
        <v>17197000</v>
      </c>
      <c r="H115" s="34">
        <f t="shared" si="2"/>
        <v>1</v>
      </c>
      <c r="I115" s="34">
        <f t="shared" si="3"/>
        <v>1</v>
      </c>
      <c r="J115" s="34">
        <f t="shared" si="4"/>
        <v>0</v>
      </c>
    </row>
    <row r="116">
      <c r="A116" s="34" t="s">
        <v>408</v>
      </c>
      <c r="B116" s="35">
        <v>2.8E9</v>
      </c>
      <c r="C116" s="35"/>
      <c r="D116" s="34"/>
      <c r="E116" s="36"/>
      <c r="F116" s="37" t="str">
        <f t="shared" si="1"/>
        <v/>
      </c>
      <c r="G116" s="36">
        <f>IF(F116="",B116*Summary!$C$22,E116)</f>
        <v>17809000</v>
      </c>
      <c r="H116" s="34">
        <f t="shared" si="2"/>
        <v>0</v>
      </c>
      <c r="I116" s="34">
        <f t="shared" si="3"/>
        <v>0</v>
      </c>
      <c r="J116" s="34">
        <f t="shared" si="4"/>
        <v>0</v>
      </c>
    </row>
    <row r="117">
      <c r="A117" s="34" t="s">
        <v>411</v>
      </c>
      <c r="B117" s="35">
        <v>2.8E9</v>
      </c>
      <c r="C117" s="35"/>
      <c r="D117" s="34"/>
      <c r="E117" s="36"/>
      <c r="F117" s="37" t="str">
        <f t="shared" si="1"/>
        <v/>
      </c>
      <c r="G117" s="36">
        <f>IF(F117="",B117*Summary!$C$22,E117)</f>
        <v>17809000</v>
      </c>
      <c r="H117" s="34">
        <f t="shared" si="2"/>
        <v>0</v>
      </c>
      <c r="I117" s="34">
        <f t="shared" si="3"/>
        <v>0</v>
      </c>
      <c r="J117" s="34">
        <f t="shared" si="4"/>
        <v>0</v>
      </c>
    </row>
    <row r="118">
      <c r="A118" s="34" t="s">
        <v>413</v>
      </c>
      <c r="B118" s="35">
        <v>2.8E9</v>
      </c>
      <c r="C118" s="35"/>
      <c r="D118" s="34"/>
      <c r="E118" s="36"/>
      <c r="F118" s="37" t="str">
        <f t="shared" si="1"/>
        <v/>
      </c>
      <c r="G118" s="36">
        <f>IF(F118="",B118*Summary!$C$22,E118)</f>
        <v>17809000</v>
      </c>
      <c r="H118" s="34">
        <f t="shared" si="2"/>
        <v>0</v>
      </c>
      <c r="I118" s="34">
        <f t="shared" si="3"/>
        <v>0</v>
      </c>
      <c r="J118" s="34">
        <f t="shared" si="4"/>
        <v>0</v>
      </c>
    </row>
    <row r="119">
      <c r="A119" s="34" t="s">
        <v>414</v>
      </c>
      <c r="B119" s="35">
        <v>2.7E9</v>
      </c>
      <c r="C119" s="35"/>
      <c r="D119" s="34"/>
      <c r="E119" s="36"/>
      <c r="F119" s="37" t="str">
        <f t="shared" si="1"/>
        <v/>
      </c>
      <c r="G119" s="36">
        <f>IF(F119="",B119*Summary!$C$22,E119)</f>
        <v>17172964.29</v>
      </c>
      <c r="H119" s="34">
        <f t="shared" si="2"/>
        <v>0</v>
      </c>
      <c r="I119" s="34">
        <f t="shared" si="3"/>
        <v>0</v>
      </c>
      <c r="J119" s="34">
        <f t="shared" si="4"/>
        <v>0</v>
      </c>
    </row>
    <row r="120">
      <c r="A120" s="34" t="s">
        <v>416</v>
      </c>
      <c r="B120" s="35">
        <v>2.6E9</v>
      </c>
      <c r="C120" s="35"/>
      <c r="D120" s="34"/>
      <c r="E120" s="36"/>
      <c r="F120" s="37" t="str">
        <f t="shared" si="1"/>
        <v/>
      </c>
      <c r="G120" s="36">
        <f>IF(F120="",B120*Summary!$C$22,E120)</f>
        <v>16536928.57</v>
      </c>
      <c r="H120" s="34">
        <f t="shared" si="2"/>
        <v>0</v>
      </c>
      <c r="I120" s="34">
        <f t="shared" si="3"/>
        <v>0</v>
      </c>
      <c r="J120" s="34">
        <f t="shared" si="4"/>
        <v>0</v>
      </c>
    </row>
    <row r="121">
      <c r="A121" s="34" t="s">
        <v>418</v>
      </c>
      <c r="B121" s="35">
        <v>2.6E9</v>
      </c>
      <c r="C121" s="35">
        <v>1.1761216E7</v>
      </c>
      <c r="D121" s="36">
        <v>1.7143216E7</v>
      </c>
      <c r="E121" s="36">
        <v>1.7143216E7</v>
      </c>
      <c r="F121" s="37">
        <f t="shared" si="1"/>
        <v>0.006593544615</v>
      </c>
      <c r="G121" s="36">
        <f>IF(F121="",B121*Summary!$C$22,E121)</f>
        <v>17143216</v>
      </c>
      <c r="H121" s="34">
        <f t="shared" si="2"/>
        <v>1</v>
      </c>
      <c r="I121" s="34">
        <f t="shared" si="3"/>
        <v>0</v>
      </c>
      <c r="J121" s="34">
        <f t="shared" si="4"/>
        <v>1</v>
      </c>
    </row>
    <row r="122">
      <c r="A122" s="34" t="s">
        <v>422</v>
      </c>
      <c r="B122" s="35">
        <v>2.6E9</v>
      </c>
      <c r="C122" s="35">
        <v>1.23E7</v>
      </c>
      <c r="D122" s="34"/>
      <c r="E122" s="36">
        <v>1.23E7</v>
      </c>
      <c r="F122" s="37">
        <f t="shared" si="1"/>
        <v>0.004730769231</v>
      </c>
      <c r="G122" s="36">
        <f>IF(F122="",B122*Summary!$C$22,E122)</f>
        <v>12300000</v>
      </c>
      <c r="H122" s="34">
        <f t="shared" si="2"/>
        <v>1</v>
      </c>
      <c r="I122" s="34">
        <f t="shared" si="3"/>
        <v>1</v>
      </c>
      <c r="J122" s="34">
        <f t="shared" si="4"/>
        <v>0</v>
      </c>
    </row>
    <row r="123">
      <c r="A123" s="34" t="s">
        <v>426</v>
      </c>
      <c r="B123" s="35">
        <v>2.6E9</v>
      </c>
      <c r="C123" s="35">
        <v>1.0E7</v>
      </c>
      <c r="D123" s="34"/>
      <c r="E123" s="36">
        <v>1.0E7</v>
      </c>
      <c r="F123" s="37">
        <f t="shared" si="1"/>
        <v>0.003846153846</v>
      </c>
      <c r="G123" s="36">
        <f>IF(F123="",B123*Summary!$C$22,E123)</f>
        <v>10000000</v>
      </c>
      <c r="H123" s="34">
        <f t="shared" si="2"/>
        <v>1</v>
      </c>
      <c r="I123" s="34">
        <f t="shared" si="3"/>
        <v>1</v>
      </c>
      <c r="J123" s="34">
        <f t="shared" si="4"/>
        <v>0</v>
      </c>
    </row>
    <row r="124">
      <c r="A124" s="34" t="s">
        <v>430</v>
      </c>
      <c r="B124" s="35">
        <v>2.5E9</v>
      </c>
      <c r="C124" s="35"/>
      <c r="D124" s="34"/>
      <c r="E124" s="36"/>
      <c r="F124" s="37" t="str">
        <f t="shared" si="1"/>
        <v/>
      </c>
      <c r="G124" s="36">
        <f>IF(F124="",B124*Summary!$C$22,E124)</f>
        <v>15900892.86</v>
      </c>
      <c r="H124" s="34">
        <f t="shared" si="2"/>
        <v>0</v>
      </c>
      <c r="I124" s="34">
        <f t="shared" si="3"/>
        <v>0</v>
      </c>
      <c r="J124" s="34">
        <f t="shared" si="4"/>
        <v>0</v>
      </c>
    </row>
    <row r="125">
      <c r="A125" s="34" t="s">
        <v>432</v>
      </c>
      <c r="B125" s="35">
        <v>2.5E9</v>
      </c>
      <c r="C125" s="35">
        <v>1.2E8</v>
      </c>
      <c r="D125" s="34"/>
      <c r="E125" s="36">
        <v>1.2E8</v>
      </c>
      <c r="F125" s="37">
        <f t="shared" si="1"/>
        <v>0.048</v>
      </c>
      <c r="G125" s="36">
        <f>IF(F125="",B125*Summary!$C$22,E125)</f>
        <v>120000000</v>
      </c>
      <c r="H125" s="34">
        <f t="shared" si="2"/>
        <v>1</v>
      </c>
      <c r="I125" s="34">
        <f t="shared" si="3"/>
        <v>1</v>
      </c>
      <c r="J125" s="34">
        <f t="shared" si="4"/>
        <v>0</v>
      </c>
    </row>
    <row r="126">
      <c r="A126" s="34" t="s">
        <v>434</v>
      </c>
      <c r="B126" s="35">
        <v>2.5E9</v>
      </c>
      <c r="C126" s="35"/>
      <c r="D126" s="34"/>
      <c r="E126" s="36"/>
      <c r="F126" s="37" t="str">
        <f t="shared" si="1"/>
        <v/>
      </c>
      <c r="G126" s="36">
        <f>IF(F126="",B126*Summary!$C$22,E126)</f>
        <v>15900892.86</v>
      </c>
      <c r="H126" s="34">
        <f t="shared" si="2"/>
        <v>0</v>
      </c>
      <c r="I126" s="34">
        <f t="shared" si="3"/>
        <v>0</v>
      </c>
      <c r="J126" s="34">
        <f t="shared" si="4"/>
        <v>0</v>
      </c>
    </row>
    <row r="127">
      <c r="A127" s="34" t="s">
        <v>438</v>
      </c>
      <c r="B127" s="35">
        <v>2.4E9</v>
      </c>
      <c r="C127" s="35">
        <v>1.1668997E7</v>
      </c>
      <c r="D127" s="34"/>
      <c r="E127" s="36">
        <v>1.1668997E7</v>
      </c>
      <c r="F127" s="37">
        <f t="shared" si="1"/>
        <v>0.004862082083</v>
      </c>
      <c r="G127" s="36">
        <f>IF(F127="",B127*Summary!$C$22,E127)</f>
        <v>11668997</v>
      </c>
      <c r="H127" s="34">
        <f t="shared" si="2"/>
        <v>1</v>
      </c>
      <c r="I127" s="34">
        <f t="shared" si="3"/>
        <v>1</v>
      </c>
      <c r="J127" s="34">
        <f t="shared" si="4"/>
        <v>0</v>
      </c>
    </row>
    <row r="128">
      <c r="A128" s="34" t="s">
        <v>443</v>
      </c>
      <c r="B128" s="35">
        <v>2.4E9</v>
      </c>
      <c r="C128" s="35"/>
      <c r="D128" s="34"/>
      <c r="E128" s="36"/>
      <c r="F128" s="37" t="str">
        <f t="shared" si="1"/>
        <v/>
      </c>
      <c r="G128" s="36">
        <f>IF(F128="",B128*Summary!$C$22,E128)</f>
        <v>15264857.14</v>
      </c>
      <c r="H128" s="34">
        <f t="shared" si="2"/>
        <v>0</v>
      </c>
      <c r="I128" s="34">
        <f t="shared" si="3"/>
        <v>0</v>
      </c>
      <c r="J128" s="34">
        <f t="shared" si="4"/>
        <v>0</v>
      </c>
    </row>
    <row r="129">
      <c r="A129" s="34" t="s">
        <v>445</v>
      </c>
      <c r="B129" s="35">
        <v>2.4E9</v>
      </c>
      <c r="C129" s="35">
        <v>1.3339211E7</v>
      </c>
      <c r="D129" s="34"/>
      <c r="E129" s="36">
        <v>1.3339211E7</v>
      </c>
      <c r="F129" s="37">
        <f t="shared" si="1"/>
        <v>0.005558004583</v>
      </c>
      <c r="G129" s="36">
        <f>IF(F129="",B129*Summary!$C$22,E129)</f>
        <v>13339211</v>
      </c>
      <c r="H129" s="34">
        <f t="shared" si="2"/>
        <v>1</v>
      </c>
      <c r="I129" s="34">
        <f t="shared" si="3"/>
        <v>1</v>
      </c>
      <c r="J129" s="34">
        <f t="shared" si="4"/>
        <v>0</v>
      </c>
    </row>
    <row r="130">
      <c r="A130" s="34" t="s">
        <v>448</v>
      </c>
      <c r="B130" s="35">
        <v>2.3E9</v>
      </c>
      <c r="C130" s="35">
        <v>8683316.0</v>
      </c>
      <c r="D130" s="34"/>
      <c r="E130" s="36">
        <v>8683316.0</v>
      </c>
      <c r="F130" s="37">
        <f t="shared" si="1"/>
        <v>0.003775354783</v>
      </c>
      <c r="G130" s="36">
        <f>IF(F130="",B130*Summary!$C$22,E130)</f>
        <v>8683316</v>
      </c>
      <c r="H130" s="34">
        <f t="shared" si="2"/>
        <v>1</v>
      </c>
      <c r="I130" s="34">
        <f t="shared" si="3"/>
        <v>1</v>
      </c>
      <c r="J130" s="34">
        <f t="shared" si="4"/>
        <v>0</v>
      </c>
    </row>
    <row r="131">
      <c r="A131" s="34" t="s">
        <v>452</v>
      </c>
      <c r="B131" s="35">
        <v>2.3E9</v>
      </c>
      <c r="C131" s="35">
        <v>6.882E7</v>
      </c>
      <c r="D131" s="34"/>
      <c r="E131" s="36">
        <v>6.882E7</v>
      </c>
      <c r="F131" s="37">
        <f t="shared" si="1"/>
        <v>0.02992173913</v>
      </c>
      <c r="G131" s="36">
        <f>IF(F131="",B131*Summary!$C$22,E131)</f>
        <v>68820000</v>
      </c>
      <c r="H131" s="34">
        <f t="shared" si="2"/>
        <v>1</v>
      </c>
      <c r="I131" s="34">
        <f t="shared" si="3"/>
        <v>1</v>
      </c>
      <c r="J131" s="34">
        <f t="shared" si="4"/>
        <v>0</v>
      </c>
    </row>
    <row r="132">
      <c r="A132" s="34" t="s">
        <v>454</v>
      </c>
      <c r="B132" s="35">
        <v>2.3E9</v>
      </c>
      <c r="C132" s="35">
        <v>1.1E7</v>
      </c>
      <c r="D132" s="34"/>
      <c r="E132" s="36">
        <v>1.1E7</v>
      </c>
      <c r="F132" s="37">
        <f t="shared" si="1"/>
        <v>0.004782608696</v>
      </c>
      <c r="G132" s="36">
        <f>IF(F132="",B132*Summary!$C$22,E132)</f>
        <v>11000000</v>
      </c>
      <c r="H132" s="34">
        <f t="shared" si="2"/>
        <v>1</v>
      </c>
      <c r="I132" s="34">
        <f t="shared" si="3"/>
        <v>1</v>
      </c>
      <c r="J132" s="34">
        <f t="shared" si="4"/>
        <v>0</v>
      </c>
    </row>
    <row r="133">
      <c r="A133" s="34" t="s">
        <v>456</v>
      </c>
      <c r="B133" s="35">
        <v>2.3E9</v>
      </c>
      <c r="C133" s="35">
        <v>1.98E7</v>
      </c>
      <c r="D133" s="34"/>
      <c r="E133" s="36">
        <v>1.98E7</v>
      </c>
      <c r="F133" s="37">
        <f t="shared" si="1"/>
        <v>0.008608695652</v>
      </c>
      <c r="G133" s="36">
        <f>IF(F133="",B133*Summary!$C$22,E133)</f>
        <v>19800000</v>
      </c>
      <c r="H133" s="34">
        <f t="shared" si="2"/>
        <v>1</v>
      </c>
      <c r="I133" s="34">
        <f t="shared" si="3"/>
        <v>1</v>
      </c>
      <c r="J133" s="34">
        <f t="shared" si="4"/>
        <v>0</v>
      </c>
    </row>
    <row r="134">
      <c r="A134" s="34" t="s">
        <v>458</v>
      </c>
      <c r="B134" s="35">
        <v>2.3E9</v>
      </c>
      <c r="C134" s="35"/>
      <c r="D134" s="34"/>
      <c r="E134" s="36"/>
      <c r="F134" s="37" t="str">
        <f t="shared" si="1"/>
        <v/>
      </c>
      <c r="G134" s="36">
        <f>IF(F134="",B134*Summary!$C$22,E134)</f>
        <v>14628821.43</v>
      </c>
      <c r="H134" s="34">
        <f t="shared" si="2"/>
        <v>0</v>
      </c>
      <c r="I134" s="34">
        <f t="shared" si="3"/>
        <v>0</v>
      </c>
      <c r="J134" s="34">
        <f t="shared" si="4"/>
        <v>0</v>
      </c>
    </row>
    <row r="135">
      <c r="A135" s="34" t="s">
        <v>459</v>
      </c>
      <c r="B135" s="35">
        <v>2.3E9</v>
      </c>
      <c r="C135" s="35">
        <v>9411000.0</v>
      </c>
      <c r="D135" s="34"/>
      <c r="E135" s="36">
        <v>9411000.0</v>
      </c>
      <c r="F135" s="37">
        <f t="shared" si="1"/>
        <v>0.00409173913</v>
      </c>
      <c r="G135" s="36">
        <f>IF(F135="",B135*Summary!$C$22,E135)</f>
        <v>9411000</v>
      </c>
      <c r="H135" s="34">
        <f t="shared" si="2"/>
        <v>1</v>
      </c>
      <c r="I135" s="34">
        <f t="shared" si="3"/>
        <v>1</v>
      </c>
      <c r="J135" s="34">
        <f t="shared" si="4"/>
        <v>0</v>
      </c>
    </row>
    <row r="136">
      <c r="A136" s="34" t="s">
        <v>462</v>
      </c>
      <c r="B136" s="35">
        <v>2.2E9</v>
      </c>
      <c r="C136" s="35"/>
      <c r="D136" s="34"/>
      <c r="E136" s="36"/>
      <c r="F136" s="37" t="str">
        <f t="shared" si="1"/>
        <v/>
      </c>
      <c r="G136" s="36">
        <f>IF(F136="",B136*Summary!$C$22,E136)</f>
        <v>13992785.71</v>
      </c>
      <c r="H136" s="34">
        <f t="shared" si="2"/>
        <v>0</v>
      </c>
      <c r="I136" s="34">
        <f t="shared" si="3"/>
        <v>0</v>
      </c>
      <c r="J136" s="34">
        <f t="shared" si="4"/>
        <v>0</v>
      </c>
    </row>
    <row r="137">
      <c r="A137" s="34" t="s">
        <v>464</v>
      </c>
      <c r="B137" s="35">
        <v>2.2E9</v>
      </c>
      <c r="C137" s="35"/>
      <c r="D137" s="34"/>
      <c r="E137" s="36"/>
      <c r="F137" s="37" t="str">
        <f t="shared" si="1"/>
        <v/>
      </c>
      <c r="G137" s="36">
        <f>IF(F137="",B137*Summary!$C$22,E137)</f>
        <v>13992785.71</v>
      </c>
      <c r="H137" s="34">
        <f t="shared" si="2"/>
        <v>0</v>
      </c>
      <c r="I137" s="34">
        <f t="shared" si="3"/>
        <v>0</v>
      </c>
      <c r="J137" s="34">
        <f t="shared" si="4"/>
        <v>0</v>
      </c>
    </row>
    <row r="138">
      <c r="A138" s="34" t="s">
        <v>469</v>
      </c>
      <c r="B138" s="35">
        <v>2.2E9</v>
      </c>
      <c r="C138" s="35">
        <v>3.875E7</v>
      </c>
      <c r="D138" s="34"/>
      <c r="E138" s="36">
        <v>3.875E7</v>
      </c>
      <c r="F138" s="37">
        <f t="shared" si="1"/>
        <v>0.01761363636</v>
      </c>
      <c r="G138" s="36">
        <f>IF(F138="",B138*Summary!$C$22,E138)</f>
        <v>38750000</v>
      </c>
      <c r="H138" s="34">
        <f t="shared" si="2"/>
        <v>1</v>
      </c>
      <c r="I138" s="34">
        <f t="shared" si="3"/>
        <v>1</v>
      </c>
      <c r="J138" s="34">
        <f t="shared" si="4"/>
        <v>0</v>
      </c>
    </row>
    <row r="139">
      <c r="A139" s="34" t="s">
        <v>471</v>
      </c>
      <c r="B139" s="35">
        <v>2.2E9</v>
      </c>
      <c r="C139" s="35"/>
      <c r="D139" s="34"/>
      <c r="E139" s="36"/>
      <c r="F139" s="37" t="str">
        <f t="shared" si="1"/>
        <v/>
      </c>
      <c r="G139" s="36">
        <f>IF(F139="",B139*Summary!$C$22,E139)</f>
        <v>13992785.71</v>
      </c>
      <c r="H139" s="34">
        <f t="shared" si="2"/>
        <v>0</v>
      </c>
      <c r="I139" s="34">
        <f t="shared" si="3"/>
        <v>0</v>
      </c>
      <c r="J139" s="34">
        <f t="shared" si="4"/>
        <v>0</v>
      </c>
    </row>
    <row r="140">
      <c r="A140" s="34" t="s">
        <v>473</v>
      </c>
      <c r="B140" s="35">
        <v>2.2E9</v>
      </c>
      <c r="C140" s="35"/>
      <c r="D140" s="34"/>
      <c r="E140" s="36"/>
      <c r="F140" s="37" t="str">
        <f t="shared" si="1"/>
        <v/>
      </c>
      <c r="G140" s="36">
        <f>IF(F140="",B140*Summary!$C$22,E140)</f>
        <v>13992785.71</v>
      </c>
      <c r="H140" s="34">
        <f t="shared" si="2"/>
        <v>0</v>
      </c>
      <c r="I140" s="34">
        <f t="shared" si="3"/>
        <v>0</v>
      </c>
      <c r="J140" s="34">
        <f t="shared" si="4"/>
        <v>0</v>
      </c>
    </row>
    <row r="141">
      <c r="A141" s="34" t="s">
        <v>475</v>
      </c>
      <c r="B141" s="35">
        <v>2.2E9</v>
      </c>
      <c r="C141" s="35">
        <v>3.0E7</v>
      </c>
      <c r="D141" s="34"/>
      <c r="E141" s="36">
        <v>3.0E7</v>
      </c>
      <c r="F141" s="37">
        <f t="shared" si="1"/>
        <v>0.01363636364</v>
      </c>
      <c r="G141" s="36">
        <f>IF(F141="",B141*Summary!$C$22,E141)</f>
        <v>30000000</v>
      </c>
      <c r="H141" s="34">
        <f t="shared" si="2"/>
        <v>1</v>
      </c>
      <c r="I141" s="34">
        <f t="shared" si="3"/>
        <v>1</v>
      </c>
      <c r="J141" s="34">
        <f t="shared" si="4"/>
        <v>0</v>
      </c>
    </row>
    <row r="142">
      <c r="A142" s="34" t="s">
        <v>477</v>
      </c>
      <c r="B142" s="35">
        <v>2.2E9</v>
      </c>
      <c r="C142" s="35"/>
      <c r="D142" s="34"/>
      <c r="E142" s="36"/>
      <c r="F142" s="37" t="str">
        <f t="shared" si="1"/>
        <v/>
      </c>
      <c r="G142" s="36">
        <f>IF(F142="",B142*Summary!$C$22,E142)</f>
        <v>13992785.71</v>
      </c>
      <c r="H142" s="34">
        <f t="shared" si="2"/>
        <v>0</v>
      </c>
      <c r="I142" s="34">
        <f t="shared" si="3"/>
        <v>0</v>
      </c>
      <c r="J142" s="34">
        <f t="shared" si="4"/>
        <v>0</v>
      </c>
    </row>
    <row r="143">
      <c r="A143" s="34" t="s">
        <v>478</v>
      </c>
      <c r="B143" s="35">
        <v>2.2E9</v>
      </c>
      <c r="C143" s="35"/>
      <c r="D143" s="34"/>
      <c r="E143" s="36"/>
      <c r="F143" s="37" t="str">
        <f t="shared" si="1"/>
        <v/>
      </c>
      <c r="G143" s="36">
        <f>IF(F143="",B143*Summary!$C$22,E143)</f>
        <v>13992785.71</v>
      </c>
      <c r="H143" s="34">
        <f t="shared" si="2"/>
        <v>0</v>
      </c>
      <c r="I143" s="34">
        <f t="shared" si="3"/>
        <v>0</v>
      </c>
      <c r="J143" s="34">
        <f t="shared" si="4"/>
        <v>0</v>
      </c>
    </row>
    <row r="144">
      <c r="A144" s="34" t="s">
        <v>481</v>
      </c>
      <c r="B144" s="35">
        <v>2.2E9</v>
      </c>
      <c r="C144" s="35"/>
      <c r="D144" s="34"/>
      <c r="E144" s="36"/>
      <c r="F144" s="37" t="str">
        <f t="shared" si="1"/>
        <v/>
      </c>
      <c r="G144" s="36">
        <f>IF(F144="",B144*Summary!$C$22,E144)</f>
        <v>13992785.71</v>
      </c>
      <c r="H144" s="34">
        <f t="shared" si="2"/>
        <v>0</v>
      </c>
      <c r="I144" s="34">
        <f t="shared" si="3"/>
        <v>0</v>
      </c>
      <c r="J144" s="34">
        <f t="shared" si="4"/>
        <v>0</v>
      </c>
    </row>
    <row r="145">
      <c r="A145" s="34" t="s">
        <v>484</v>
      </c>
      <c r="B145" s="35">
        <v>2.1E9</v>
      </c>
      <c r="C145" s="35"/>
      <c r="D145" s="34"/>
      <c r="E145" s="36"/>
      <c r="F145" s="37" t="str">
        <f t="shared" si="1"/>
        <v/>
      </c>
      <c r="G145" s="36">
        <f>IF(F145="",B145*Summary!$C$22,E145)</f>
        <v>13356750</v>
      </c>
      <c r="H145" s="34">
        <f t="shared" si="2"/>
        <v>0</v>
      </c>
      <c r="I145" s="34">
        <f t="shared" si="3"/>
        <v>0</v>
      </c>
      <c r="J145" s="34">
        <f t="shared" si="4"/>
        <v>0</v>
      </c>
    </row>
    <row r="146">
      <c r="A146" s="34" t="s">
        <v>488</v>
      </c>
      <c r="B146" s="35">
        <v>2.1E9</v>
      </c>
      <c r="C146" s="35">
        <v>5512000.0</v>
      </c>
      <c r="D146" s="34"/>
      <c r="E146" s="36">
        <v>5512000.0</v>
      </c>
      <c r="F146" s="37">
        <f t="shared" si="1"/>
        <v>0.002624761905</v>
      </c>
      <c r="G146" s="36">
        <f>IF(F146="",B146*Summary!$C$22,E146)</f>
        <v>5512000</v>
      </c>
      <c r="H146" s="34">
        <f t="shared" si="2"/>
        <v>1</v>
      </c>
      <c r="I146" s="34">
        <f t="shared" si="3"/>
        <v>1</v>
      </c>
      <c r="J146" s="34">
        <f t="shared" si="4"/>
        <v>0</v>
      </c>
    </row>
    <row r="147">
      <c r="A147" s="34" t="s">
        <v>491</v>
      </c>
      <c r="B147" s="35">
        <v>2.1E9</v>
      </c>
      <c r="C147" s="35">
        <v>1.41E8</v>
      </c>
      <c r="D147" s="34"/>
      <c r="E147" s="36">
        <v>1.41E8</v>
      </c>
      <c r="F147" s="37">
        <f t="shared" si="1"/>
        <v>0.06714285714</v>
      </c>
      <c r="G147" s="36">
        <f>IF(F147="",B147*Summary!$C$22,E147)</f>
        <v>141000000</v>
      </c>
      <c r="H147" s="34">
        <f t="shared" si="2"/>
        <v>1</v>
      </c>
      <c r="I147" s="34">
        <f t="shared" si="3"/>
        <v>1</v>
      </c>
      <c r="J147" s="34">
        <f t="shared" si="4"/>
        <v>0</v>
      </c>
    </row>
    <row r="148">
      <c r="A148" s="34" t="s">
        <v>493</v>
      </c>
      <c r="B148" s="35">
        <v>2.1E9</v>
      </c>
      <c r="C148" s="35">
        <v>1.7E7</v>
      </c>
      <c r="D148" s="34"/>
      <c r="E148" s="36">
        <v>1.7E7</v>
      </c>
      <c r="F148" s="37">
        <f t="shared" si="1"/>
        <v>0.008095238095</v>
      </c>
      <c r="G148" s="36">
        <f>IF(F148="",B148*Summary!$C$22,E148)</f>
        <v>17000000</v>
      </c>
      <c r="H148" s="34">
        <f t="shared" si="2"/>
        <v>1</v>
      </c>
      <c r="I148" s="34">
        <f t="shared" si="3"/>
        <v>1</v>
      </c>
      <c r="J148" s="34">
        <f t="shared" si="4"/>
        <v>0</v>
      </c>
    </row>
    <row r="149">
      <c r="A149" s="34" t="s">
        <v>495</v>
      </c>
      <c r="B149" s="35">
        <v>2.1E9</v>
      </c>
      <c r="C149" s="35"/>
      <c r="D149" s="34"/>
      <c r="E149" s="36"/>
      <c r="F149" s="37" t="str">
        <f t="shared" si="1"/>
        <v/>
      </c>
      <c r="G149" s="36">
        <f>IF(F149="",B149*Summary!$C$22,E149)</f>
        <v>13356750</v>
      </c>
      <c r="H149" s="34">
        <f t="shared" si="2"/>
        <v>0</v>
      </c>
      <c r="I149" s="34">
        <f t="shared" si="3"/>
        <v>0</v>
      </c>
      <c r="J149" s="34">
        <f t="shared" si="4"/>
        <v>0</v>
      </c>
    </row>
    <row r="150">
      <c r="A150" s="34" t="s">
        <v>496</v>
      </c>
      <c r="B150" s="35">
        <v>2.0E9</v>
      </c>
      <c r="C150" s="35">
        <v>3.4E7</v>
      </c>
      <c r="D150" s="34"/>
      <c r="E150" s="36">
        <v>3.4E7</v>
      </c>
      <c r="F150" s="37">
        <f t="shared" si="1"/>
        <v>0.017</v>
      </c>
      <c r="G150" s="36">
        <f>IF(F150="",B150*Summary!$C$22,E150)</f>
        <v>34000000</v>
      </c>
      <c r="H150" s="34">
        <f t="shared" si="2"/>
        <v>1</v>
      </c>
      <c r="I150" s="34">
        <f t="shared" si="3"/>
        <v>1</v>
      </c>
      <c r="J150" s="34">
        <f t="shared" si="4"/>
        <v>0</v>
      </c>
    </row>
    <row r="151">
      <c r="A151" s="34" t="s">
        <v>499</v>
      </c>
      <c r="B151" s="35">
        <v>2.0E9</v>
      </c>
      <c r="C151" s="35">
        <v>7322885.0</v>
      </c>
      <c r="D151" s="34"/>
      <c r="E151" s="36">
        <v>7322885.0</v>
      </c>
      <c r="F151" s="37">
        <f t="shared" si="1"/>
        <v>0.0036614425</v>
      </c>
      <c r="G151" s="36">
        <f>IF(F151="",B151*Summary!$C$22,E151)</f>
        <v>7322885</v>
      </c>
      <c r="H151" s="34">
        <f t="shared" si="2"/>
        <v>1</v>
      </c>
      <c r="I151" s="34">
        <f t="shared" si="3"/>
        <v>1</v>
      </c>
      <c r="J151" s="34">
        <f t="shared" si="4"/>
        <v>0</v>
      </c>
    </row>
    <row r="152">
      <c r="A152" s="34" t="s">
        <v>502</v>
      </c>
      <c r="B152" s="35">
        <v>2.0E9</v>
      </c>
      <c r="C152" s="35"/>
      <c r="D152" s="34"/>
      <c r="E152" s="36"/>
      <c r="F152" s="37" t="str">
        <f t="shared" si="1"/>
        <v/>
      </c>
      <c r="G152" s="36">
        <f>IF(F152="",B152*Summary!$C$22,E152)</f>
        <v>12720714.29</v>
      </c>
      <c r="H152" s="34">
        <f t="shared" si="2"/>
        <v>0</v>
      </c>
      <c r="I152" s="34">
        <f t="shared" si="3"/>
        <v>0</v>
      </c>
      <c r="J152" s="34">
        <f t="shared" si="4"/>
        <v>0</v>
      </c>
    </row>
    <row r="153">
      <c r="A153" s="34" t="s">
        <v>505</v>
      </c>
      <c r="B153" s="35">
        <v>2.0E9</v>
      </c>
      <c r="C153" s="35"/>
      <c r="D153" s="34"/>
      <c r="E153" s="36"/>
      <c r="F153" s="37" t="str">
        <f t="shared" si="1"/>
        <v/>
      </c>
      <c r="G153" s="36">
        <f>IF(F153="",B153*Summary!$C$22,E153)</f>
        <v>12720714.29</v>
      </c>
      <c r="H153" s="34">
        <f t="shared" si="2"/>
        <v>0</v>
      </c>
      <c r="I153" s="34">
        <f t="shared" si="3"/>
        <v>0</v>
      </c>
      <c r="J153" s="34">
        <f t="shared" si="4"/>
        <v>0</v>
      </c>
    </row>
    <row r="154">
      <c r="A154" s="34" t="s">
        <v>508</v>
      </c>
      <c r="B154" s="35">
        <v>2.0E9</v>
      </c>
      <c r="C154" s="35"/>
      <c r="D154" s="34"/>
      <c r="E154" s="36"/>
      <c r="F154" s="37" t="str">
        <f t="shared" si="1"/>
        <v/>
      </c>
      <c r="G154" s="36">
        <f>IF(F154="",B154*Summary!$C$22,E154)</f>
        <v>12720714.29</v>
      </c>
      <c r="H154" s="34">
        <f t="shared" si="2"/>
        <v>0</v>
      </c>
      <c r="I154" s="34">
        <f t="shared" si="3"/>
        <v>0</v>
      </c>
      <c r="J154" s="34">
        <f t="shared" si="4"/>
        <v>0</v>
      </c>
    </row>
    <row r="155">
      <c r="A155" s="34" t="s">
        <v>513</v>
      </c>
      <c r="B155" s="35">
        <v>2.0E9</v>
      </c>
      <c r="C155" s="35"/>
      <c r="D155" s="34"/>
      <c r="E155" s="36"/>
      <c r="F155" s="37" t="str">
        <f t="shared" si="1"/>
        <v/>
      </c>
      <c r="G155" s="36">
        <f>IF(F155="",B155*Summary!$C$22,E155)</f>
        <v>12720714.29</v>
      </c>
      <c r="H155" s="34">
        <f t="shared" si="2"/>
        <v>0</v>
      </c>
      <c r="I155" s="34">
        <f t="shared" si="3"/>
        <v>0</v>
      </c>
      <c r="J155" s="34">
        <f t="shared" si="4"/>
        <v>0</v>
      </c>
    </row>
    <row r="156">
      <c r="A156" s="34" t="s">
        <v>514</v>
      </c>
      <c r="B156" s="35">
        <v>1.9E9</v>
      </c>
      <c r="C156" s="35">
        <v>2.7E7</v>
      </c>
      <c r="D156" s="34"/>
      <c r="E156" s="36">
        <v>2.7E7</v>
      </c>
      <c r="F156" s="37">
        <f t="shared" si="1"/>
        <v>0.01421052632</v>
      </c>
      <c r="G156" s="36">
        <f>IF(F156="",B156*Summary!$C$22,E156)</f>
        <v>27000000</v>
      </c>
      <c r="H156" s="34">
        <f t="shared" si="2"/>
        <v>1</v>
      </c>
      <c r="I156" s="34">
        <f t="shared" si="3"/>
        <v>1</v>
      </c>
      <c r="J156" s="34">
        <f t="shared" si="4"/>
        <v>0</v>
      </c>
    </row>
    <row r="157">
      <c r="A157" s="34" t="s">
        <v>517</v>
      </c>
      <c r="B157" s="35">
        <v>1.9E9</v>
      </c>
      <c r="C157" s="35"/>
      <c r="D157" s="34"/>
      <c r="E157" s="36"/>
      <c r="F157" s="37" t="str">
        <f t="shared" si="1"/>
        <v/>
      </c>
      <c r="G157" s="36">
        <f>IF(F157="",B157*Summary!$C$22,E157)</f>
        <v>12084678.57</v>
      </c>
      <c r="H157" s="34">
        <f t="shared" si="2"/>
        <v>0</v>
      </c>
      <c r="I157" s="34">
        <f t="shared" si="3"/>
        <v>0</v>
      </c>
      <c r="J157" s="34">
        <f t="shared" si="4"/>
        <v>0</v>
      </c>
    </row>
    <row r="158">
      <c r="A158" s="34" t="s">
        <v>520</v>
      </c>
      <c r="B158" s="35">
        <v>1.9E9</v>
      </c>
      <c r="C158" s="35"/>
      <c r="D158" s="34"/>
      <c r="E158" s="36"/>
      <c r="F158" s="37" t="str">
        <f t="shared" si="1"/>
        <v/>
      </c>
      <c r="G158" s="36">
        <f>IF(F158="",B158*Summary!$C$22,E158)</f>
        <v>12084678.57</v>
      </c>
      <c r="H158" s="34">
        <f t="shared" si="2"/>
        <v>0</v>
      </c>
      <c r="I158" s="34">
        <f t="shared" si="3"/>
        <v>0</v>
      </c>
      <c r="J158" s="34">
        <f t="shared" si="4"/>
        <v>0</v>
      </c>
    </row>
    <row r="159">
      <c r="A159" s="34" t="s">
        <v>521</v>
      </c>
      <c r="B159" s="35">
        <v>1.9E9</v>
      </c>
      <c r="C159" s="35">
        <v>1.1E8</v>
      </c>
      <c r="D159" s="34"/>
      <c r="E159" s="36">
        <v>1.1E8</v>
      </c>
      <c r="F159" s="37">
        <f t="shared" si="1"/>
        <v>0.05789473684</v>
      </c>
      <c r="G159" s="36">
        <f>IF(F159="",B159*Summary!$C$22,E159)</f>
        <v>110000000</v>
      </c>
      <c r="H159" s="34">
        <f t="shared" si="2"/>
        <v>1</v>
      </c>
      <c r="I159" s="34">
        <f t="shared" si="3"/>
        <v>1</v>
      </c>
      <c r="J159" s="34">
        <f t="shared" si="4"/>
        <v>0</v>
      </c>
    </row>
    <row r="160">
      <c r="A160" s="34" t="s">
        <v>524</v>
      </c>
      <c r="B160" s="35">
        <v>1.9E9</v>
      </c>
      <c r="C160" s="35">
        <v>1.77E8</v>
      </c>
      <c r="D160" s="34"/>
      <c r="E160" s="36">
        <v>1.77E8</v>
      </c>
      <c r="F160" s="37">
        <f t="shared" si="1"/>
        <v>0.09315789474</v>
      </c>
      <c r="G160" s="36">
        <f>IF(F160="",B160*Summary!$C$22,E160)</f>
        <v>177000000</v>
      </c>
      <c r="H160" s="34">
        <f t="shared" si="2"/>
        <v>1</v>
      </c>
      <c r="I160" s="34">
        <f t="shared" si="3"/>
        <v>1</v>
      </c>
      <c r="J160" s="34">
        <f t="shared" si="4"/>
        <v>0</v>
      </c>
    </row>
    <row r="161">
      <c r="A161" s="34" t="s">
        <v>526</v>
      </c>
      <c r="B161" s="35">
        <v>1.8E9</v>
      </c>
      <c r="C161" s="35">
        <v>6.0E7</v>
      </c>
      <c r="D161" s="34"/>
      <c r="E161" s="36">
        <v>6.0E7</v>
      </c>
      <c r="F161" s="37">
        <f t="shared" si="1"/>
        <v>0.03333333333</v>
      </c>
      <c r="G161" s="36">
        <f>IF(F161="",B161*Summary!$C$22,E161)</f>
        <v>60000000</v>
      </c>
      <c r="H161" s="34">
        <f t="shared" si="2"/>
        <v>1</v>
      </c>
      <c r="I161" s="34">
        <f t="shared" si="3"/>
        <v>1</v>
      </c>
      <c r="J161" s="34">
        <f t="shared" si="4"/>
        <v>0</v>
      </c>
    </row>
    <row r="162">
      <c r="A162" s="34" t="s">
        <v>532</v>
      </c>
      <c r="B162" s="35">
        <v>1.8E9</v>
      </c>
      <c r="C162" s="35"/>
      <c r="D162" s="34"/>
      <c r="E162" s="36"/>
      <c r="F162" s="37" t="str">
        <f t="shared" si="1"/>
        <v/>
      </c>
      <c r="G162" s="36">
        <f>IF(F162="",B162*Summary!$C$22,E162)</f>
        <v>11448642.86</v>
      </c>
      <c r="H162" s="34">
        <f t="shared" si="2"/>
        <v>0</v>
      </c>
      <c r="I162" s="34">
        <f t="shared" si="3"/>
        <v>0</v>
      </c>
      <c r="J162" s="34">
        <f t="shared" si="4"/>
        <v>0</v>
      </c>
    </row>
    <row r="163">
      <c r="A163" s="34" t="s">
        <v>536</v>
      </c>
      <c r="B163" s="35">
        <v>1.7E9</v>
      </c>
      <c r="C163" s="35"/>
      <c r="D163" s="34"/>
      <c r="E163" s="36"/>
      <c r="F163" s="37" t="str">
        <f t="shared" si="1"/>
        <v/>
      </c>
      <c r="G163" s="36">
        <f>IF(F163="",B163*Summary!$C$22,E163)</f>
        <v>10812607.14</v>
      </c>
      <c r="H163" s="34">
        <f t="shared" si="2"/>
        <v>0</v>
      </c>
      <c r="I163" s="34">
        <f t="shared" si="3"/>
        <v>0</v>
      </c>
      <c r="J163" s="34">
        <f t="shared" si="4"/>
        <v>0</v>
      </c>
    </row>
    <row r="164">
      <c r="A164" s="34" t="s">
        <v>539</v>
      </c>
      <c r="B164" s="35">
        <v>1.7E9</v>
      </c>
      <c r="C164" s="35"/>
      <c r="D164" s="34"/>
      <c r="E164" s="36"/>
      <c r="F164" s="37" t="str">
        <f t="shared" si="1"/>
        <v/>
      </c>
      <c r="G164" s="36">
        <f>IF(F164="",B164*Summary!$C$22,E164)</f>
        <v>10812607.14</v>
      </c>
      <c r="H164" s="34">
        <f t="shared" si="2"/>
        <v>0</v>
      </c>
      <c r="I164" s="34">
        <f t="shared" si="3"/>
        <v>0</v>
      </c>
      <c r="J164" s="34">
        <f t="shared" si="4"/>
        <v>0</v>
      </c>
    </row>
    <row r="165">
      <c r="A165" s="34" t="s">
        <v>540</v>
      </c>
      <c r="B165" s="35">
        <v>1.7E9</v>
      </c>
      <c r="C165" s="35">
        <v>2.39E7</v>
      </c>
      <c r="D165" s="34"/>
      <c r="E165" s="36">
        <v>2.39E7</v>
      </c>
      <c r="F165" s="37">
        <f t="shared" si="1"/>
        <v>0.01405882353</v>
      </c>
      <c r="G165" s="36">
        <f>IF(F165="",B165*Summary!$C$22,E165)</f>
        <v>23900000</v>
      </c>
      <c r="H165" s="34">
        <f t="shared" si="2"/>
        <v>1</v>
      </c>
      <c r="I165" s="34">
        <f t="shared" si="3"/>
        <v>1</v>
      </c>
      <c r="J165" s="34">
        <f t="shared" si="4"/>
        <v>0</v>
      </c>
    </row>
    <row r="166">
      <c r="A166" s="34" t="s">
        <v>542</v>
      </c>
      <c r="B166" s="35">
        <v>1.7E9</v>
      </c>
      <c r="C166" s="35"/>
      <c r="D166" s="34"/>
      <c r="E166" s="36"/>
      <c r="F166" s="37" t="str">
        <f t="shared" si="1"/>
        <v/>
      </c>
      <c r="G166" s="36">
        <f>IF(F166="",B166*Summary!$C$22,E166)</f>
        <v>10812607.14</v>
      </c>
      <c r="H166" s="34">
        <f t="shared" si="2"/>
        <v>0</v>
      </c>
      <c r="I166" s="34">
        <f t="shared" si="3"/>
        <v>0</v>
      </c>
      <c r="J166" s="34">
        <f t="shared" si="4"/>
        <v>0</v>
      </c>
    </row>
    <row r="167">
      <c r="A167" s="34" t="s">
        <v>543</v>
      </c>
      <c r="B167" s="35">
        <v>1.7E9</v>
      </c>
      <c r="C167" s="35"/>
      <c r="D167" s="34"/>
      <c r="E167" s="36"/>
      <c r="F167" s="37" t="str">
        <f t="shared" si="1"/>
        <v/>
      </c>
      <c r="G167" s="36">
        <f>IF(F167="",B167*Summary!$C$22,E167)</f>
        <v>10812607.14</v>
      </c>
      <c r="H167" s="34">
        <f t="shared" si="2"/>
        <v>0</v>
      </c>
      <c r="I167" s="34">
        <f t="shared" si="3"/>
        <v>0</v>
      </c>
      <c r="J167" s="34">
        <f t="shared" si="4"/>
        <v>0</v>
      </c>
    </row>
    <row r="168">
      <c r="A168" s="34" t="s">
        <v>544</v>
      </c>
      <c r="B168" s="35">
        <v>1.6E9</v>
      </c>
      <c r="C168" s="35"/>
      <c r="D168" s="34"/>
      <c r="E168" s="36"/>
      <c r="F168" s="37" t="str">
        <f t="shared" si="1"/>
        <v/>
      </c>
      <c r="G168" s="36">
        <f>IF(F168="",B168*Summary!$C$22,E168)</f>
        <v>10176571.43</v>
      </c>
      <c r="H168" s="34">
        <f t="shared" si="2"/>
        <v>0</v>
      </c>
      <c r="I168" s="34">
        <f t="shared" si="3"/>
        <v>0</v>
      </c>
      <c r="J168" s="34">
        <f t="shared" si="4"/>
        <v>0</v>
      </c>
    </row>
    <row r="169">
      <c r="A169" s="34" t="s">
        <v>547</v>
      </c>
      <c r="B169" s="35">
        <v>1.6E9</v>
      </c>
      <c r="C169" s="35"/>
      <c r="D169" s="34"/>
      <c r="E169" s="36"/>
      <c r="F169" s="37" t="str">
        <f t="shared" si="1"/>
        <v/>
      </c>
      <c r="G169" s="36">
        <f>IF(F169="",B169*Summary!$C$22,E169)</f>
        <v>10176571.43</v>
      </c>
      <c r="H169" s="34">
        <f t="shared" si="2"/>
        <v>0</v>
      </c>
      <c r="I169" s="34">
        <f t="shared" si="3"/>
        <v>0</v>
      </c>
      <c r="J169" s="34">
        <f t="shared" si="4"/>
        <v>0</v>
      </c>
    </row>
    <row r="170">
      <c r="A170" s="34" t="s">
        <v>550</v>
      </c>
      <c r="B170" s="35">
        <v>1.6E9</v>
      </c>
      <c r="C170" s="35">
        <v>3.582E7</v>
      </c>
      <c r="D170" s="34"/>
      <c r="E170" s="36">
        <v>3.582E7</v>
      </c>
      <c r="F170" s="37">
        <f t="shared" si="1"/>
        <v>0.0223875</v>
      </c>
      <c r="G170" s="36">
        <f>IF(F170="",B170*Summary!$C$22,E170)</f>
        <v>35820000</v>
      </c>
      <c r="H170" s="34">
        <f t="shared" si="2"/>
        <v>1</v>
      </c>
      <c r="I170" s="34">
        <f t="shared" si="3"/>
        <v>1</v>
      </c>
      <c r="J170" s="34">
        <f t="shared" si="4"/>
        <v>0</v>
      </c>
    </row>
    <row r="171">
      <c r="A171" s="34" t="s">
        <v>553</v>
      </c>
      <c r="B171" s="35">
        <v>1.6E9</v>
      </c>
      <c r="C171" s="35"/>
      <c r="D171" s="34"/>
      <c r="E171" s="36"/>
      <c r="F171" s="37" t="str">
        <f t="shared" si="1"/>
        <v/>
      </c>
      <c r="G171" s="36">
        <f>IF(F171="",B171*Summary!$C$22,E171)</f>
        <v>10176571.43</v>
      </c>
      <c r="H171" s="34">
        <f t="shared" si="2"/>
        <v>0</v>
      </c>
      <c r="I171" s="34">
        <f t="shared" si="3"/>
        <v>0</v>
      </c>
      <c r="J171" s="34">
        <f t="shared" si="4"/>
        <v>0</v>
      </c>
    </row>
    <row r="172">
      <c r="A172" s="34" t="s">
        <v>554</v>
      </c>
      <c r="B172" s="35">
        <v>1.6E9</v>
      </c>
      <c r="C172" s="35"/>
      <c r="D172" s="34"/>
      <c r="E172" s="36"/>
      <c r="F172" s="37" t="str">
        <f t="shared" si="1"/>
        <v/>
      </c>
      <c r="G172" s="36">
        <f>IF(F172="",B172*Summary!$C$22,E172)</f>
        <v>10176571.43</v>
      </c>
      <c r="H172" s="34">
        <f t="shared" si="2"/>
        <v>0</v>
      </c>
      <c r="I172" s="34">
        <f t="shared" si="3"/>
        <v>0</v>
      </c>
      <c r="J172" s="34">
        <f t="shared" si="4"/>
        <v>0</v>
      </c>
    </row>
    <row r="173">
      <c r="A173" s="34" t="s">
        <v>555</v>
      </c>
      <c r="B173" s="35">
        <v>1.6E9</v>
      </c>
      <c r="C173" s="35">
        <v>1.5E7</v>
      </c>
      <c r="D173" s="34"/>
      <c r="E173" s="36">
        <v>1.5E7</v>
      </c>
      <c r="F173" s="37">
        <f t="shared" si="1"/>
        <v>0.009375</v>
      </c>
      <c r="G173" s="36">
        <f>IF(F173="",B173*Summary!$C$22,E173)</f>
        <v>15000000</v>
      </c>
      <c r="H173" s="34">
        <f t="shared" si="2"/>
        <v>1</v>
      </c>
      <c r="I173" s="34">
        <f t="shared" si="3"/>
        <v>1</v>
      </c>
      <c r="J173" s="34">
        <f t="shared" si="4"/>
        <v>0</v>
      </c>
    </row>
    <row r="174">
      <c r="A174" s="34" t="s">
        <v>557</v>
      </c>
      <c r="B174" s="35">
        <v>1.6E9</v>
      </c>
      <c r="C174" s="35">
        <v>8030000.0</v>
      </c>
      <c r="D174" s="36">
        <v>8030000.0</v>
      </c>
      <c r="E174" s="36">
        <v>8030000.0</v>
      </c>
      <c r="F174" s="37">
        <f t="shared" si="1"/>
        <v>0.00501875</v>
      </c>
      <c r="G174" s="36">
        <f>IF(F174="",B174*Summary!$C$22,E174)</f>
        <v>8030000</v>
      </c>
      <c r="H174" s="34">
        <f t="shared" si="2"/>
        <v>1</v>
      </c>
      <c r="I174" s="34">
        <f t="shared" si="3"/>
        <v>0</v>
      </c>
      <c r="J174" s="34">
        <f t="shared" si="4"/>
        <v>1</v>
      </c>
    </row>
    <row r="175">
      <c r="A175" s="34" t="s">
        <v>560</v>
      </c>
      <c r="B175" s="35">
        <v>1.6E9</v>
      </c>
      <c r="C175" s="35"/>
      <c r="D175" s="36">
        <v>1.0961462E7</v>
      </c>
      <c r="E175" s="36">
        <v>1.0961462E7</v>
      </c>
      <c r="F175" s="37">
        <f t="shared" si="1"/>
        <v>0.00685091375</v>
      </c>
      <c r="G175" s="36">
        <f>IF(F175="",B175*Summary!$C$22,E175)</f>
        <v>10961462</v>
      </c>
      <c r="H175" s="34">
        <f t="shared" si="2"/>
        <v>1</v>
      </c>
      <c r="I175" s="34">
        <f t="shared" si="3"/>
        <v>0</v>
      </c>
      <c r="J175" s="34">
        <f t="shared" si="4"/>
        <v>1</v>
      </c>
    </row>
    <row r="176">
      <c r="A176" s="34" t="s">
        <v>563</v>
      </c>
      <c r="B176" s="35">
        <v>1.6E9</v>
      </c>
      <c r="C176" s="35"/>
      <c r="D176" s="34"/>
      <c r="E176" s="36"/>
      <c r="F176" s="37" t="str">
        <f t="shared" si="1"/>
        <v/>
      </c>
      <c r="G176" s="36">
        <f>IF(F176="",B176*Summary!$C$22,E176)</f>
        <v>10176571.43</v>
      </c>
      <c r="H176" s="34">
        <f t="shared" si="2"/>
        <v>0</v>
      </c>
      <c r="I176" s="34">
        <f t="shared" si="3"/>
        <v>0</v>
      </c>
      <c r="J176" s="34">
        <f t="shared" si="4"/>
        <v>0</v>
      </c>
    </row>
    <row r="177">
      <c r="A177" s="34" t="s">
        <v>564</v>
      </c>
      <c r="B177" s="35">
        <v>1.6E9</v>
      </c>
      <c r="C177" s="35"/>
      <c r="D177" s="34"/>
      <c r="E177" s="36"/>
      <c r="F177" s="37" t="str">
        <f t="shared" si="1"/>
        <v/>
      </c>
      <c r="G177" s="36">
        <f>IF(F177="",B177*Summary!$C$22,E177)</f>
        <v>10176571.43</v>
      </c>
      <c r="H177" s="34">
        <f t="shared" si="2"/>
        <v>0</v>
      </c>
      <c r="I177" s="34">
        <f t="shared" si="3"/>
        <v>0</v>
      </c>
      <c r="J177" s="34">
        <f t="shared" si="4"/>
        <v>0</v>
      </c>
    </row>
    <row r="178">
      <c r="A178" s="34" t="s">
        <v>566</v>
      </c>
      <c r="B178" s="35">
        <v>1.5E9</v>
      </c>
      <c r="C178" s="35">
        <v>1.5398401E7</v>
      </c>
      <c r="D178" s="36">
        <v>1.5398401E7</v>
      </c>
      <c r="E178" s="36">
        <v>1.5398401E7</v>
      </c>
      <c r="F178" s="37">
        <f t="shared" si="1"/>
        <v>0.01026560067</v>
      </c>
      <c r="G178" s="36">
        <f>IF(F178="",B178*Summary!$C$22,E178)</f>
        <v>15398401</v>
      </c>
      <c r="H178" s="34">
        <f t="shared" si="2"/>
        <v>1</v>
      </c>
      <c r="I178" s="34">
        <f t="shared" si="3"/>
        <v>0</v>
      </c>
      <c r="J178" s="34">
        <f t="shared" si="4"/>
        <v>1</v>
      </c>
    </row>
    <row r="179">
      <c r="A179" s="34" t="s">
        <v>570</v>
      </c>
      <c r="B179" s="35">
        <v>1.5E9</v>
      </c>
      <c r="C179" s="35">
        <v>1.5713764E7</v>
      </c>
      <c r="D179" s="36">
        <v>1.5713764E7</v>
      </c>
      <c r="E179" s="36">
        <v>1.5713764E7</v>
      </c>
      <c r="F179" s="37">
        <f t="shared" si="1"/>
        <v>0.01047584267</v>
      </c>
      <c r="G179" s="36">
        <f>IF(F179="",B179*Summary!$C$22,E179)</f>
        <v>15713764</v>
      </c>
      <c r="H179" s="34">
        <f t="shared" si="2"/>
        <v>1</v>
      </c>
      <c r="I179" s="34">
        <f t="shared" si="3"/>
        <v>0</v>
      </c>
      <c r="J179" s="34">
        <f t="shared" si="4"/>
        <v>1</v>
      </c>
    </row>
    <row r="180">
      <c r="A180" s="34" t="s">
        <v>573</v>
      </c>
      <c r="B180" s="35">
        <v>1.5E9</v>
      </c>
      <c r="C180" s="35"/>
      <c r="D180" s="34"/>
      <c r="E180" s="36"/>
      <c r="F180" s="37" t="str">
        <f t="shared" si="1"/>
        <v/>
      </c>
      <c r="G180" s="36">
        <f>IF(F180="",B180*Summary!$C$22,E180)</f>
        <v>9540535.714</v>
      </c>
      <c r="H180" s="34">
        <f t="shared" si="2"/>
        <v>0</v>
      </c>
      <c r="I180" s="34">
        <f t="shared" si="3"/>
        <v>0</v>
      </c>
      <c r="J180" s="34">
        <f t="shared" si="4"/>
        <v>0</v>
      </c>
    </row>
    <row r="181">
      <c r="A181" s="34" t="s">
        <v>574</v>
      </c>
      <c r="B181" s="35">
        <v>1.5E9</v>
      </c>
      <c r="C181" s="35">
        <v>6085000.0</v>
      </c>
      <c r="D181" s="36">
        <v>6016000.0</v>
      </c>
      <c r="E181" s="36">
        <v>6016000.0</v>
      </c>
      <c r="F181" s="37">
        <f t="shared" si="1"/>
        <v>0.004010666667</v>
      </c>
      <c r="G181" s="36">
        <f>IF(F181="",B181*Summary!$C$22,E181)</f>
        <v>6016000</v>
      </c>
      <c r="H181" s="34">
        <f t="shared" si="2"/>
        <v>1</v>
      </c>
      <c r="I181" s="34">
        <f t="shared" si="3"/>
        <v>0</v>
      </c>
      <c r="J181" s="34">
        <f t="shared" si="4"/>
        <v>1</v>
      </c>
    </row>
    <row r="182">
      <c r="A182" s="34" t="s">
        <v>577</v>
      </c>
      <c r="B182" s="35">
        <v>1.5E9</v>
      </c>
      <c r="C182" s="35"/>
      <c r="D182" s="34"/>
      <c r="E182" s="36"/>
      <c r="F182" s="37" t="str">
        <f t="shared" si="1"/>
        <v/>
      </c>
      <c r="G182" s="36">
        <f>IF(F182="",B182*Summary!$C$22,E182)</f>
        <v>9540535.714</v>
      </c>
      <c r="H182" s="34">
        <f t="shared" si="2"/>
        <v>0</v>
      </c>
      <c r="I182" s="34">
        <f t="shared" si="3"/>
        <v>0</v>
      </c>
      <c r="J182" s="34">
        <f t="shared" si="4"/>
        <v>0</v>
      </c>
    </row>
    <row r="183">
      <c r="A183" s="34" t="s">
        <v>578</v>
      </c>
      <c r="B183" s="35">
        <v>1.5E9</v>
      </c>
      <c r="C183" s="35"/>
      <c r="D183" s="34"/>
      <c r="E183" s="36"/>
      <c r="F183" s="37" t="str">
        <f t="shared" si="1"/>
        <v/>
      </c>
      <c r="G183" s="36">
        <f>IF(F183="",B183*Summary!$C$22,E183)</f>
        <v>9540535.714</v>
      </c>
      <c r="H183" s="34">
        <f t="shared" si="2"/>
        <v>0</v>
      </c>
      <c r="I183" s="34">
        <f t="shared" si="3"/>
        <v>0</v>
      </c>
      <c r="J183" s="34">
        <f t="shared" si="4"/>
        <v>0</v>
      </c>
    </row>
    <row r="184">
      <c r="A184" s="34" t="s">
        <v>580</v>
      </c>
      <c r="B184" s="35">
        <v>1.5E9</v>
      </c>
      <c r="C184" s="35"/>
      <c r="D184" s="34"/>
      <c r="E184" s="36"/>
      <c r="F184" s="37" t="str">
        <f t="shared" si="1"/>
        <v/>
      </c>
      <c r="G184" s="36">
        <f>IF(F184="",B184*Summary!$C$22,E184)</f>
        <v>9540535.714</v>
      </c>
      <c r="H184" s="34">
        <f t="shared" si="2"/>
        <v>0</v>
      </c>
      <c r="I184" s="34">
        <f t="shared" si="3"/>
        <v>0</v>
      </c>
      <c r="J184" s="34">
        <f t="shared" si="4"/>
        <v>0</v>
      </c>
    </row>
    <row r="185">
      <c r="A185" s="34" t="s">
        <v>581</v>
      </c>
      <c r="B185" s="35">
        <v>1.5E9</v>
      </c>
      <c r="C185" s="35">
        <v>4.0E7</v>
      </c>
      <c r="D185" s="36">
        <v>8195833.0</v>
      </c>
      <c r="E185" s="36">
        <v>8195833.0</v>
      </c>
      <c r="F185" s="37">
        <f t="shared" si="1"/>
        <v>0.005463888667</v>
      </c>
      <c r="G185" s="36">
        <f>IF(F185="",B185*Summary!$C$22,E185)</f>
        <v>8195833</v>
      </c>
      <c r="H185" s="34">
        <f t="shared" si="2"/>
        <v>1</v>
      </c>
      <c r="I185" s="34">
        <f t="shared" si="3"/>
        <v>0</v>
      </c>
      <c r="J185" s="34">
        <f t="shared" si="4"/>
        <v>1</v>
      </c>
    </row>
    <row r="186">
      <c r="A186" s="34" t="s">
        <v>585</v>
      </c>
      <c r="B186" s="35">
        <v>1.5E9</v>
      </c>
      <c r="C186" s="35"/>
      <c r="D186" s="34"/>
      <c r="E186" s="36"/>
      <c r="F186" s="37" t="str">
        <f t="shared" si="1"/>
        <v/>
      </c>
      <c r="G186" s="36">
        <f>IF(F186="",B186*Summary!$C$22,E186)</f>
        <v>9540535.714</v>
      </c>
      <c r="H186" s="34">
        <f t="shared" si="2"/>
        <v>0</v>
      </c>
      <c r="I186" s="34">
        <f t="shared" si="3"/>
        <v>0</v>
      </c>
      <c r="J186" s="34">
        <f t="shared" si="4"/>
        <v>0</v>
      </c>
    </row>
    <row r="187">
      <c r="A187" s="34" t="s">
        <v>590</v>
      </c>
      <c r="B187" s="35">
        <v>1.4E9</v>
      </c>
      <c r="C187" s="35">
        <v>7196000.0</v>
      </c>
      <c r="D187" s="36">
        <v>1.9420738E7</v>
      </c>
      <c r="E187" s="36">
        <v>1.9420738E7</v>
      </c>
      <c r="F187" s="37">
        <f t="shared" si="1"/>
        <v>0.01387195571</v>
      </c>
      <c r="G187" s="36">
        <f>IF(F187="",B187*Summary!$C$22,E187)</f>
        <v>19420738</v>
      </c>
      <c r="H187" s="34">
        <f t="shared" si="2"/>
        <v>1</v>
      </c>
      <c r="I187" s="34">
        <f t="shared" si="3"/>
        <v>0</v>
      </c>
      <c r="J187" s="34">
        <f t="shared" si="4"/>
        <v>1</v>
      </c>
    </row>
    <row r="188">
      <c r="A188" s="34" t="s">
        <v>595</v>
      </c>
      <c r="B188" s="35">
        <v>1.4E9</v>
      </c>
      <c r="C188" s="35"/>
      <c r="D188" s="36">
        <v>7271292.0</v>
      </c>
      <c r="E188" s="36">
        <v>7271292.0</v>
      </c>
      <c r="F188" s="37">
        <f t="shared" si="1"/>
        <v>0.00519378</v>
      </c>
      <c r="G188" s="36">
        <f>IF(F188="",B188*Summary!$C$22,E188)</f>
        <v>7271292</v>
      </c>
      <c r="H188" s="34">
        <f t="shared" si="2"/>
        <v>1</v>
      </c>
      <c r="I188" s="34">
        <f t="shared" si="3"/>
        <v>0</v>
      </c>
      <c r="J188" s="34">
        <f t="shared" si="4"/>
        <v>1</v>
      </c>
    </row>
    <row r="189">
      <c r="A189" s="34" t="s">
        <v>598</v>
      </c>
      <c r="B189" s="35">
        <v>1.4E9</v>
      </c>
      <c r="C189" s="35">
        <v>2850000.0</v>
      </c>
      <c r="D189" s="36">
        <v>8904500.0</v>
      </c>
      <c r="E189" s="36">
        <v>8904500.0</v>
      </c>
      <c r="F189" s="37">
        <f t="shared" si="1"/>
        <v>0.006360357143</v>
      </c>
      <c r="G189" s="36">
        <f>IF(F189="",B189*Summary!$C$22,E189)</f>
        <v>8904500</v>
      </c>
      <c r="H189" s="34">
        <f t="shared" si="2"/>
        <v>1</v>
      </c>
      <c r="I189" s="34">
        <f t="shared" si="3"/>
        <v>0</v>
      </c>
      <c r="J189" s="34">
        <f t="shared" si="4"/>
        <v>1</v>
      </c>
    </row>
    <row r="190">
      <c r="A190" s="34" t="s">
        <v>602</v>
      </c>
      <c r="B190" s="35">
        <v>1.4E9</v>
      </c>
      <c r="C190" s="35">
        <v>2.95E7</v>
      </c>
      <c r="D190" s="36">
        <v>2.95E7</v>
      </c>
      <c r="E190" s="36">
        <v>2.95E7</v>
      </c>
      <c r="F190" s="37">
        <f t="shared" si="1"/>
        <v>0.02107142857</v>
      </c>
      <c r="G190" s="36">
        <f>IF(F190="",B190*Summary!$C$22,E190)</f>
        <v>29500000</v>
      </c>
      <c r="H190" s="34">
        <f t="shared" si="2"/>
        <v>1</v>
      </c>
      <c r="I190" s="34">
        <f t="shared" si="3"/>
        <v>0</v>
      </c>
      <c r="J190" s="34">
        <f t="shared" si="4"/>
        <v>1</v>
      </c>
    </row>
    <row r="191">
      <c r="A191" s="34" t="s">
        <v>606</v>
      </c>
      <c r="B191" s="35">
        <v>1.4E9</v>
      </c>
      <c r="C191" s="35"/>
      <c r="D191" s="34"/>
      <c r="E191" s="36"/>
      <c r="F191" s="37" t="str">
        <f t="shared" si="1"/>
        <v/>
      </c>
      <c r="G191" s="36">
        <f>IF(F191="",B191*Summary!$C$22,E191)</f>
        <v>8904500</v>
      </c>
      <c r="H191" s="34">
        <f t="shared" si="2"/>
        <v>0</v>
      </c>
      <c r="I191" s="34">
        <f t="shared" si="3"/>
        <v>0</v>
      </c>
      <c r="J191" s="34">
        <f t="shared" si="4"/>
        <v>0</v>
      </c>
    </row>
    <row r="192">
      <c r="A192" s="39" t="s">
        <v>607</v>
      </c>
      <c r="B192" s="35">
        <v>1.4E9</v>
      </c>
      <c r="C192" s="35"/>
      <c r="D192" s="34"/>
      <c r="E192" s="36"/>
      <c r="F192" s="37" t="str">
        <f t="shared" si="1"/>
        <v/>
      </c>
      <c r="G192" s="36">
        <f>IF(F192="",B192*Summary!$C$22,E192)</f>
        <v>8904500</v>
      </c>
      <c r="H192" s="34">
        <f t="shared" si="2"/>
        <v>0</v>
      </c>
      <c r="I192" s="34">
        <f t="shared" si="3"/>
        <v>0</v>
      </c>
      <c r="J192" s="34">
        <f t="shared" si="4"/>
        <v>0</v>
      </c>
    </row>
    <row r="193">
      <c r="A193" s="34" t="s">
        <v>609</v>
      </c>
      <c r="B193" s="35">
        <v>1.3E9</v>
      </c>
      <c r="C193" s="35">
        <v>2648000.0</v>
      </c>
      <c r="D193" s="34"/>
      <c r="E193" s="36">
        <v>2648000.0</v>
      </c>
      <c r="F193" s="37">
        <f t="shared" si="1"/>
        <v>0.002036923077</v>
      </c>
      <c r="G193" s="36">
        <f>IF(F193="",B193*Summary!$C$22,E193)</f>
        <v>2648000</v>
      </c>
      <c r="H193" s="34">
        <f t="shared" si="2"/>
        <v>1</v>
      </c>
      <c r="I193" s="34">
        <f t="shared" si="3"/>
        <v>1</v>
      </c>
      <c r="J193" s="34">
        <f t="shared" si="4"/>
        <v>0</v>
      </c>
    </row>
    <row r="194">
      <c r="A194" s="34" t="s">
        <v>614</v>
      </c>
      <c r="B194" s="35">
        <v>1.3E9</v>
      </c>
      <c r="C194" s="35"/>
      <c r="D194" s="36">
        <v>8089000.0</v>
      </c>
      <c r="E194" s="36">
        <v>8089000.0</v>
      </c>
      <c r="F194" s="37">
        <f t="shared" si="1"/>
        <v>0.006222307692</v>
      </c>
      <c r="G194" s="36">
        <f>IF(F194="",B194*Summary!$C$22,E194)</f>
        <v>8089000</v>
      </c>
      <c r="H194" s="34">
        <f t="shared" si="2"/>
        <v>1</v>
      </c>
      <c r="I194" s="34">
        <f t="shared" si="3"/>
        <v>0</v>
      </c>
      <c r="J194" s="34">
        <f t="shared" si="4"/>
        <v>1</v>
      </c>
    </row>
    <row r="195">
      <c r="A195" s="34" t="s">
        <v>617</v>
      </c>
      <c r="B195" s="35">
        <v>1.3E9</v>
      </c>
      <c r="C195" s="35">
        <v>3006000.0</v>
      </c>
      <c r="D195" s="36">
        <v>1.4634965E7</v>
      </c>
      <c r="E195" s="36">
        <v>1.4634965E7</v>
      </c>
      <c r="F195" s="37">
        <f t="shared" si="1"/>
        <v>0.01125766538</v>
      </c>
      <c r="G195" s="36">
        <f>IF(F195="",B195*Summary!$C$22,E195)</f>
        <v>14634965</v>
      </c>
      <c r="H195" s="34">
        <f t="shared" si="2"/>
        <v>1</v>
      </c>
      <c r="I195" s="34">
        <f t="shared" si="3"/>
        <v>0</v>
      </c>
      <c r="J195" s="34">
        <f t="shared" si="4"/>
        <v>1</v>
      </c>
    </row>
    <row r="196">
      <c r="A196" s="34" t="s">
        <v>621</v>
      </c>
      <c r="B196" s="35">
        <v>1.3E9</v>
      </c>
      <c r="C196" s="35"/>
      <c r="D196" s="36">
        <v>1.3E7</v>
      </c>
      <c r="E196" s="36">
        <v>1.3E7</v>
      </c>
      <c r="F196" s="37">
        <f t="shared" si="1"/>
        <v>0.01</v>
      </c>
      <c r="G196" s="36">
        <f>IF(F196="",B196*Summary!$C$22,E196)</f>
        <v>13000000</v>
      </c>
      <c r="H196" s="34">
        <f t="shared" si="2"/>
        <v>1</v>
      </c>
      <c r="I196" s="34">
        <f t="shared" si="3"/>
        <v>0</v>
      </c>
      <c r="J196" s="34">
        <f t="shared" si="4"/>
        <v>1</v>
      </c>
    </row>
    <row r="197">
      <c r="A197" s="34" t="s">
        <v>623</v>
      </c>
      <c r="B197" s="35">
        <v>1.3E9</v>
      </c>
      <c r="C197" s="35">
        <v>3.5E7</v>
      </c>
      <c r="D197" s="34"/>
      <c r="E197" s="36">
        <v>3.5E7</v>
      </c>
      <c r="F197" s="37">
        <f t="shared" si="1"/>
        <v>0.02692307692</v>
      </c>
      <c r="G197" s="36">
        <f>IF(F197="",B197*Summary!$C$22,E197)</f>
        <v>35000000</v>
      </c>
      <c r="H197" s="34">
        <f t="shared" si="2"/>
        <v>1</v>
      </c>
      <c r="I197" s="34">
        <f t="shared" si="3"/>
        <v>1</v>
      </c>
      <c r="J197" s="34">
        <f t="shared" si="4"/>
        <v>0</v>
      </c>
    </row>
    <row r="198">
      <c r="A198" s="34" t="s">
        <v>625</v>
      </c>
      <c r="B198" s="35">
        <v>1.3E9</v>
      </c>
      <c r="C198" s="35"/>
      <c r="D198" s="34"/>
      <c r="E198" s="36"/>
      <c r="F198" s="37" t="str">
        <f t="shared" si="1"/>
        <v/>
      </c>
      <c r="G198" s="36">
        <f>IF(F198="",B198*Summary!$C$22,E198)</f>
        <v>8268464.286</v>
      </c>
      <c r="H198" s="34">
        <f t="shared" si="2"/>
        <v>0</v>
      </c>
      <c r="I198" s="34">
        <f t="shared" si="3"/>
        <v>0</v>
      </c>
      <c r="J198" s="34">
        <f t="shared" si="4"/>
        <v>0</v>
      </c>
    </row>
    <row r="199">
      <c r="A199" s="34" t="s">
        <v>629</v>
      </c>
      <c r="B199" s="35">
        <v>1.3E9</v>
      </c>
      <c r="C199" s="35"/>
      <c r="D199" s="34"/>
      <c r="E199" s="36"/>
      <c r="F199" s="37" t="str">
        <f t="shared" si="1"/>
        <v/>
      </c>
      <c r="G199" s="36">
        <f>IF(F199="",B199*Summary!$C$22,E199)</f>
        <v>8268464.286</v>
      </c>
      <c r="H199" s="34">
        <f t="shared" si="2"/>
        <v>0</v>
      </c>
      <c r="I199" s="34">
        <f t="shared" si="3"/>
        <v>0</v>
      </c>
      <c r="J199" s="34">
        <f t="shared" si="4"/>
        <v>0</v>
      </c>
    </row>
    <row r="200">
      <c r="A200" s="34" t="s">
        <v>630</v>
      </c>
      <c r="B200" s="35">
        <v>1.3E9</v>
      </c>
      <c r="C200" s="35"/>
      <c r="D200" s="36">
        <v>6797000.0</v>
      </c>
      <c r="E200" s="36">
        <v>6797000.0</v>
      </c>
      <c r="F200" s="37">
        <f t="shared" si="1"/>
        <v>0.005228461538</v>
      </c>
      <c r="G200" s="36">
        <f>IF(F200="",B200*Summary!$C$22,E200)</f>
        <v>6797000</v>
      </c>
      <c r="H200" s="34">
        <f t="shared" si="2"/>
        <v>1</v>
      </c>
      <c r="I200" s="34">
        <f t="shared" si="3"/>
        <v>0</v>
      </c>
      <c r="J200" s="34">
        <f t="shared" si="4"/>
        <v>1</v>
      </c>
    </row>
    <row r="201">
      <c r="A201" s="34" t="s">
        <v>633</v>
      </c>
      <c r="B201" s="35">
        <v>1.3E9</v>
      </c>
      <c r="C201" s="35">
        <v>3.7E7</v>
      </c>
      <c r="D201" s="36">
        <v>7.0E7</v>
      </c>
      <c r="E201" s="36">
        <v>7.0E7</v>
      </c>
      <c r="F201" s="37">
        <f t="shared" si="1"/>
        <v>0.05384615385</v>
      </c>
      <c r="G201" s="36">
        <f>IF(F201="",B201*Summary!$C$22,E201)</f>
        <v>70000000</v>
      </c>
      <c r="H201" s="34">
        <f t="shared" si="2"/>
        <v>1</v>
      </c>
      <c r="I201" s="34">
        <f t="shared" si="3"/>
        <v>0</v>
      </c>
      <c r="J201" s="34">
        <f t="shared" si="4"/>
        <v>1</v>
      </c>
    </row>
    <row r="202">
      <c r="A202" s="34" t="s">
        <v>636</v>
      </c>
      <c r="B202" s="35">
        <v>1.3E9</v>
      </c>
      <c r="C202" s="35"/>
      <c r="D202" s="34"/>
      <c r="E202" s="36"/>
      <c r="F202" s="37" t="str">
        <f t="shared" si="1"/>
        <v/>
      </c>
      <c r="G202" s="36">
        <f>IF(F202="",B202*Summary!$C$22,E202)</f>
        <v>8268464.286</v>
      </c>
      <c r="H202" s="34">
        <f t="shared" si="2"/>
        <v>0</v>
      </c>
      <c r="I202" s="34">
        <f t="shared" si="3"/>
        <v>0</v>
      </c>
      <c r="J202" s="34">
        <f t="shared" si="4"/>
        <v>0</v>
      </c>
    </row>
    <row r="203">
      <c r="A203" s="34" t="s">
        <v>637</v>
      </c>
      <c r="B203" s="35">
        <v>1.3E9</v>
      </c>
      <c r="C203" s="35"/>
      <c r="D203" s="34"/>
      <c r="E203" s="36"/>
      <c r="F203" s="37" t="str">
        <f t="shared" si="1"/>
        <v/>
      </c>
      <c r="G203" s="36">
        <f>IF(F203="",B203*Summary!$C$22,E203)</f>
        <v>8268464.286</v>
      </c>
      <c r="H203" s="34">
        <f t="shared" si="2"/>
        <v>0</v>
      </c>
      <c r="I203" s="34">
        <f t="shared" si="3"/>
        <v>0</v>
      </c>
      <c r="J203" s="34">
        <f t="shared" si="4"/>
        <v>0</v>
      </c>
    </row>
    <row r="204">
      <c r="A204" s="34" t="s">
        <v>638</v>
      </c>
      <c r="B204" s="35">
        <v>1.2E9</v>
      </c>
      <c r="C204" s="35"/>
      <c r="D204" s="34"/>
      <c r="E204" s="36"/>
      <c r="F204" s="37" t="str">
        <f t="shared" si="1"/>
        <v/>
      </c>
      <c r="G204" s="36">
        <f>IF(F204="",B204*Summary!$C$22,E204)</f>
        <v>7632428.571</v>
      </c>
      <c r="H204" s="34">
        <f t="shared" si="2"/>
        <v>0</v>
      </c>
      <c r="I204" s="34">
        <f t="shared" si="3"/>
        <v>0</v>
      </c>
      <c r="J204" s="34">
        <f t="shared" si="4"/>
        <v>0</v>
      </c>
    </row>
    <row r="205">
      <c r="A205" s="34" t="s">
        <v>640</v>
      </c>
      <c r="B205" s="35">
        <v>1.2E9</v>
      </c>
      <c r="C205" s="35"/>
      <c r="D205" s="34"/>
      <c r="E205" s="36"/>
      <c r="F205" s="37" t="str">
        <f t="shared" si="1"/>
        <v/>
      </c>
      <c r="G205" s="36">
        <f>IF(F205="",B205*Summary!$C$22,E205)</f>
        <v>7632428.571</v>
      </c>
      <c r="H205" s="34">
        <f t="shared" si="2"/>
        <v>0</v>
      </c>
      <c r="I205" s="34">
        <f t="shared" si="3"/>
        <v>0</v>
      </c>
      <c r="J205" s="34">
        <f t="shared" si="4"/>
        <v>0</v>
      </c>
    </row>
    <row r="206">
      <c r="A206" s="34" t="s">
        <v>641</v>
      </c>
      <c r="B206" s="35">
        <v>1.2E9</v>
      </c>
      <c r="C206" s="35"/>
      <c r="D206" s="36">
        <v>5413302.0</v>
      </c>
      <c r="E206" s="36">
        <v>5413302.0</v>
      </c>
      <c r="F206" s="37">
        <f t="shared" si="1"/>
        <v>0.004511085</v>
      </c>
      <c r="G206" s="36">
        <f>IF(F206="",B206*Summary!$C$22,E206)</f>
        <v>5413302</v>
      </c>
      <c r="H206" s="34">
        <f t="shared" si="2"/>
        <v>1</v>
      </c>
      <c r="I206" s="34">
        <f t="shared" si="3"/>
        <v>0</v>
      </c>
      <c r="J206" s="34">
        <f t="shared" si="4"/>
        <v>1</v>
      </c>
    </row>
    <row r="207">
      <c r="A207" s="34" t="s">
        <v>645</v>
      </c>
      <c r="B207" s="35">
        <v>1.2E9</v>
      </c>
      <c r="C207" s="35"/>
      <c r="D207" s="36">
        <v>4.3371212E7</v>
      </c>
      <c r="E207" s="36">
        <v>2.7995E7</v>
      </c>
      <c r="F207" s="37">
        <f t="shared" si="1"/>
        <v>0.02332916667</v>
      </c>
      <c r="G207" s="36">
        <f>IF(F207="",B207*Summary!$C$22,E207)</f>
        <v>27995000</v>
      </c>
      <c r="H207" s="34">
        <f t="shared" si="2"/>
        <v>1</v>
      </c>
      <c r="I207" s="34">
        <f t="shared" si="3"/>
        <v>0</v>
      </c>
      <c r="J207" s="34">
        <f t="shared" si="4"/>
        <v>1</v>
      </c>
    </row>
    <row r="208">
      <c r="A208" s="39" t="s">
        <v>648</v>
      </c>
      <c r="B208" s="35">
        <v>1.1E9</v>
      </c>
      <c r="C208" s="35">
        <v>5299000.0</v>
      </c>
      <c r="D208" s="40">
        <v>1.0887E7</v>
      </c>
      <c r="E208" s="40">
        <v>1.0887E7</v>
      </c>
      <c r="F208" s="37">
        <f t="shared" si="1"/>
        <v>0.009897272727</v>
      </c>
      <c r="G208" s="36">
        <f>IF(F208="",B208*Summary!$C$22,E208)</f>
        <v>10887000</v>
      </c>
      <c r="H208" s="34">
        <f t="shared" si="2"/>
        <v>1</v>
      </c>
      <c r="I208" s="34">
        <f t="shared" si="3"/>
        <v>0</v>
      </c>
      <c r="J208" s="34">
        <f t="shared" si="4"/>
        <v>1</v>
      </c>
    </row>
    <row r="209">
      <c r="A209" s="34" t="s">
        <v>652</v>
      </c>
      <c r="B209" s="35">
        <v>1.1E9</v>
      </c>
      <c r="C209" s="35">
        <v>1.3122419E7</v>
      </c>
      <c r="D209" s="34"/>
      <c r="E209" s="36">
        <v>1.3122419E7</v>
      </c>
      <c r="F209" s="37">
        <f t="shared" si="1"/>
        <v>0.01192947182</v>
      </c>
      <c r="G209" s="36">
        <f>IF(F209="",B209*Summary!$C$22,E209)</f>
        <v>13122419</v>
      </c>
      <c r="H209" s="34">
        <f t="shared" si="2"/>
        <v>1</v>
      </c>
      <c r="I209" s="34">
        <f t="shared" si="3"/>
        <v>1</v>
      </c>
      <c r="J209" s="34">
        <f t="shared" si="4"/>
        <v>0</v>
      </c>
    </row>
    <row r="210">
      <c r="A210" s="41" t="s">
        <v>655</v>
      </c>
      <c r="B210" s="35">
        <v>1.1E9</v>
      </c>
      <c r="C210" s="35"/>
      <c r="D210" s="34"/>
      <c r="E210" s="36"/>
      <c r="F210" s="37" t="str">
        <f t="shared" si="1"/>
        <v/>
      </c>
      <c r="G210" s="36">
        <f>IF(F210="",B210*Summary!$C$22,E210)</f>
        <v>6996392.857</v>
      </c>
      <c r="H210" s="34">
        <f t="shared" si="2"/>
        <v>0</v>
      </c>
      <c r="I210" s="34">
        <f t="shared" si="3"/>
        <v>0</v>
      </c>
      <c r="J210" s="34">
        <f t="shared" si="4"/>
        <v>0</v>
      </c>
    </row>
    <row r="211">
      <c r="A211" s="41" t="s">
        <v>656</v>
      </c>
      <c r="B211" s="35">
        <v>1.1E9</v>
      </c>
      <c r="C211" s="35"/>
      <c r="D211" s="34"/>
      <c r="E211" s="36"/>
      <c r="F211" s="37" t="str">
        <f t="shared" si="1"/>
        <v/>
      </c>
      <c r="G211" s="36">
        <f>IF(F211="",B211*Summary!$C$22,E211)</f>
        <v>6996392.857</v>
      </c>
      <c r="H211" s="34">
        <f t="shared" si="2"/>
        <v>0</v>
      </c>
      <c r="I211" s="34">
        <f t="shared" si="3"/>
        <v>0</v>
      </c>
      <c r="J211" s="34">
        <f t="shared" si="4"/>
        <v>0</v>
      </c>
    </row>
    <row r="212">
      <c r="A212" s="34" t="s">
        <v>657</v>
      </c>
      <c r="B212" s="35">
        <v>1.1E9</v>
      </c>
      <c r="C212" s="35">
        <v>2.8090701E7</v>
      </c>
      <c r="D212" s="34"/>
      <c r="E212" s="36">
        <v>2.8090701E7</v>
      </c>
      <c r="F212" s="37">
        <f t="shared" si="1"/>
        <v>0.02553700091</v>
      </c>
      <c r="G212" s="36">
        <f>IF(F212="",B212*Summary!$C$22,E212)</f>
        <v>28090701</v>
      </c>
      <c r="H212" s="34">
        <f t="shared" si="2"/>
        <v>1</v>
      </c>
      <c r="I212" s="34">
        <f t="shared" si="3"/>
        <v>1</v>
      </c>
      <c r="J212" s="34">
        <f t="shared" si="4"/>
        <v>0</v>
      </c>
    </row>
    <row r="213">
      <c r="A213" s="41" t="s">
        <v>661</v>
      </c>
      <c r="B213" s="35">
        <v>1.0E9</v>
      </c>
      <c r="C213" s="35"/>
      <c r="D213" s="34"/>
      <c r="E213" s="36"/>
      <c r="F213" s="37" t="str">
        <f t="shared" si="1"/>
        <v/>
      </c>
      <c r="G213" s="36">
        <f>IF(F213="",B213*Summary!$C$22,E213)</f>
        <v>6360357.143</v>
      </c>
      <c r="H213" s="34">
        <f t="shared" si="2"/>
        <v>0</v>
      </c>
      <c r="I213" s="34">
        <f t="shared" si="3"/>
        <v>0</v>
      </c>
      <c r="J213" s="34">
        <f t="shared" si="4"/>
        <v>0</v>
      </c>
    </row>
    <row r="214">
      <c r="A214" s="34" t="s">
        <v>663</v>
      </c>
      <c r="B214" s="35">
        <v>1.0E9</v>
      </c>
      <c r="C214" s="35"/>
      <c r="D214" s="34"/>
      <c r="E214" s="36"/>
      <c r="F214" s="37" t="str">
        <f t="shared" si="1"/>
        <v/>
      </c>
      <c r="G214" s="36">
        <f>IF(F214="",B214*Summary!$C$22,E214)</f>
        <v>6360357.143</v>
      </c>
      <c r="H214" s="34">
        <f t="shared" si="2"/>
        <v>0</v>
      </c>
      <c r="I214" s="34">
        <f t="shared" si="3"/>
        <v>0</v>
      </c>
      <c r="J214" s="34">
        <f t="shared" si="4"/>
        <v>0</v>
      </c>
    </row>
    <row r="215">
      <c r="A215" s="34" t="s">
        <v>664</v>
      </c>
      <c r="B215" s="35">
        <v>1.0E9</v>
      </c>
      <c r="C215" s="35"/>
      <c r="D215" s="34"/>
      <c r="E215" s="36"/>
      <c r="F215" s="37"/>
      <c r="G215" s="36">
        <f>IF(F215="",B215*Summary!$C$22,E215)</f>
        <v>6360357.143</v>
      </c>
      <c r="H215" s="34">
        <f t="shared" si="2"/>
        <v>0</v>
      </c>
      <c r="I215" s="34">
        <f t="shared" si="3"/>
        <v>0</v>
      </c>
      <c r="J215" s="34">
        <f t="shared" si="4"/>
        <v>0</v>
      </c>
    </row>
    <row r="216">
      <c r="B216" s="11"/>
      <c r="G216" s="13"/>
      <c r="H216" s="13"/>
      <c r="I216" s="13"/>
      <c r="J216" s="13"/>
    </row>
    <row r="217">
      <c r="B217" s="11"/>
      <c r="E217" s="4" t="s">
        <v>746</v>
      </c>
      <c r="F217" s="4" t="s">
        <v>747</v>
      </c>
      <c r="G217" s="13"/>
      <c r="H217" s="13" t="s">
        <v>743</v>
      </c>
      <c r="I217" s="13" t="s">
        <v>744</v>
      </c>
      <c r="J217" s="13" t="s">
        <v>745</v>
      </c>
    </row>
    <row r="218">
      <c r="B218" s="11"/>
      <c r="D218" s="4" t="s">
        <v>675</v>
      </c>
      <c r="E218" s="19">
        <f>AVERAGE(F2:F215)</f>
        <v>0.01179229765</v>
      </c>
      <c r="F218" s="3">
        <f>AVERAGE(E2:E215)</f>
        <v>52878524.28</v>
      </c>
      <c r="H218" s="2">
        <f t="shared" ref="H218:J218" si="5">SUM(H2:H215)</f>
        <v>119</v>
      </c>
      <c r="I218" s="2">
        <f t="shared" si="5"/>
        <v>58</v>
      </c>
      <c r="J218" s="2">
        <f t="shared" si="5"/>
        <v>61</v>
      </c>
    </row>
    <row r="219">
      <c r="B219" s="11"/>
      <c r="D219" s="4" t="s">
        <v>676</v>
      </c>
      <c r="E219" s="19">
        <f>MEDIAN(F2:F215)</f>
        <v>0.006360357143</v>
      </c>
      <c r="F219" s="18">
        <f>MEDIAN(E2:E215)</f>
        <v>21000000</v>
      </c>
    </row>
    <row r="220">
      <c r="B220" s="11"/>
      <c r="D220" s="4" t="s">
        <v>748</v>
      </c>
      <c r="E220" s="19">
        <f>PERCENTILE(F2:F215,0.25)</f>
        <v>0.002954072772</v>
      </c>
      <c r="F220" s="18">
        <f>PERCENTILE(E2:E215,0.25)</f>
        <v>10924231</v>
      </c>
    </row>
    <row r="221">
      <c r="B221" s="11"/>
      <c r="D221" s="4" t="s">
        <v>749</v>
      </c>
      <c r="E221" s="19">
        <f>PERCENTILE(F2:F215,0.75)</f>
        <v>0.0142791762</v>
      </c>
      <c r="F221" s="18">
        <f>PERCENTILE(E2:E215,0.75)</f>
        <v>58411381</v>
      </c>
    </row>
    <row r="222">
      <c r="B222" s="11"/>
      <c r="D222" s="4" t="s">
        <v>750</v>
      </c>
      <c r="E222" s="19">
        <f>max(F2:F215)</f>
        <v>0.09315789474</v>
      </c>
      <c r="F222" s="18">
        <f>max(E2:E215)</f>
        <v>600000000</v>
      </c>
    </row>
    <row r="223">
      <c r="B223" s="11"/>
      <c r="D223" s="4" t="s">
        <v>751</v>
      </c>
      <c r="E223" s="4">
        <f>countif(E2:E215,"&gt;0")</f>
        <v>119</v>
      </c>
      <c r="F223" s="18">
        <f>countif(E2:E215,"&gt;0")</f>
        <v>119</v>
      </c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  <row r="1001">
      <c r="B1001" s="11"/>
    </row>
    <row r="1002">
      <c r="B1002" s="11"/>
    </row>
  </sheetData>
  <autoFilter ref="$A$1:$J$21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 outlineLevelCol="1" outlineLevelRow="1"/>
  <cols>
    <col customWidth="1" min="1" max="1" width="2.63"/>
    <col customWidth="1" min="3" max="3" width="15.88"/>
    <col customWidth="1" min="5" max="5" width="14.75"/>
    <col customWidth="1" min="12" max="12" width="20.25"/>
    <col collapsed="1" min="13" max="13" width="12.63"/>
    <col hidden="1" min="14" max="14" width="12.63" outlineLevel="1"/>
  </cols>
  <sheetData>
    <row r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>
      <c r="A2" s="42"/>
      <c r="B2" s="43" t="s">
        <v>752</v>
      </c>
      <c r="C2" s="21"/>
      <c r="D2" s="21"/>
      <c r="E2" s="21"/>
      <c r="F2" s="21"/>
      <c r="G2" s="21"/>
      <c r="H2" s="21"/>
      <c r="I2" s="21"/>
      <c r="J2" s="44" t="s">
        <v>753</v>
      </c>
      <c r="K2" s="45"/>
      <c r="L2" s="46"/>
      <c r="N2" s="4">
        <v>1.0E9</v>
      </c>
    </row>
    <row r="3">
      <c r="A3" s="42"/>
      <c r="B3" s="47"/>
      <c r="C3" s="43" t="s">
        <v>754</v>
      </c>
      <c r="D3" s="21"/>
      <c r="E3" s="21"/>
      <c r="F3" s="22"/>
      <c r="G3" s="43" t="s">
        <v>755</v>
      </c>
      <c r="H3" s="21"/>
      <c r="I3" s="22"/>
      <c r="J3" s="48"/>
      <c r="K3" s="49"/>
      <c r="L3" s="50"/>
    </row>
    <row r="4">
      <c r="A4" s="42"/>
      <c r="B4" s="47" t="s">
        <v>756</v>
      </c>
      <c r="C4" s="51" t="s">
        <v>757</v>
      </c>
      <c r="D4" s="51"/>
      <c r="E4" s="51" t="s">
        <v>758</v>
      </c>
      <c r="F4" s="52" t="s">
        <v>759</v>
      </c>
      <c r="G4" s="47" t="s">
        <v>757</v>
      </c>
      <c r="H4" s="51" t="s">
        <v>758</v>
      </c>
      <c r="I4" s="53" t="s">
        <v>759</v>
      </c>
      <c r="J4" s="47" t="s">
        <v>760</v>
      </c>
      <c r="K4" s="51" t="s">
        <v>757</v>
      </c>
      <c r="L4" s="53" t="s">
        <v>761</v>
      </c>
    </row>
    <row r="5">
      <c r="A5" s="42"/>
      <c r="B5" s="54" t="s">
        <v>762</v>
      </c>
      <c r="C5" s="55">
        <f>SUM(Calculations!O3:O216)/$C$8</f>
        <v>107.0392469</v>
      </c>
      <c r="D5" s="55"/>
      <c r="E5" s="55">
        <f>SUM(Calculations!Q3:Q216)/C8</f>
        <v>62.86431961</v>
      </c>
      <c r="F5" s="56">
        <f t="shared" ref="F5:F6" si="1">SUM(C5:E5)</f>
        <v>169.9035665</v>
      </c>
      <c r="G5" s="55">
        <f>SUMIF(Calculations!F3:F215,"N",Calculations!O3:O216)/$C$8</f>
        <v>66.70863021</v>
      </c>
      <c r="H5" s="55">
        <f>SUMIF(Calculations!F3:F215,"N",Calculations!Q3:Q216)/$C$8</f>
        <v>39.17808441</v>
      </c>
      <c r="I5" s="57">
        <f t="shared" ref="I5:I6" si="2">SUM(G5:H5)</f>
        <v>105.8867146</v>
      </c>
      <c r="J5" s="58">
        <f t="shared" ref="J5:J6" si="3">(C5-G5)/C5</f>
        <v>0.3767834496</v>
      </c>
      <c r="K5" s="59">
        <v>0.05</v>
      </c>
      <c r="L5" s="55">
        <f t="shared" ref="L5:L6" si="4">J5/K5</f>
        <v>7.535668992</v>
      </c>
    </row>
    <row r="6">
      <c r="A6" s="42"/>
      <c r="B6" s="54" t="s">
        <v>763</v>
      </c>
      <c r="C6" s="55">
        <f>SUM(Calculations!S3:S216)/C8</f>
        <v>123.0951339</v>
      </c>
      <c r="D6" s="55"/>
      <c r="E6" s="55">
        <f>SUM(Calculations!U3:U216)/C8</f>
        <v>72.29396755</v>
      </c>
      <c r="F6" s="56">
        <f t="shared" si="1"/>
        <v>195.3891015</v>
      </c>
      <c r="G6" s="60">
        <f>SUMIF(Calculations!F3:F215,"N",Calculations!S3:S216)/$C$8</f>
        <v>76.71492474</v>
      </c>
      <c r="H6" s="55">
        <f>SUMIF(Calculations!F3:F215,"N",Calculations!U3:U216)/$C$8</f>
        <v>45.05479707</v>
      </c>
      <c r="I6" s="57">
        <f t="shared" si="2"/>
        <v>121.7697218</v>
      </c>
      <c r="J6" s="58">
        <f t="shared" si="3"/>
        <v>0.3767834496</v>
      </c>
      <c r="K6" s="61">
        <v>0.05</v>
      </c>
      <c r="L6" s="55">
        <f t="shared" si="4"/>
        <v>7.535668992</v>
      </c>
    </row>
    <row r="7" ht="8.25" customHeight="1" collapsed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</row>
    <row r="8" hidden="1" outlineLevel="1">
      <c r="A8" s="42"/>
      <c r="B8" s="42"/>
      <c r="C8" s="62">
        <v>1.0E9</v>
      </c>
      <c r="D8" s="42"/>
      <c r="E8" s="42"/>
      <c r="F8" s="42"/>
      <c r="G8" s="42"/>
      <c r="H8" s="42"/>
      <c r="I8" s="42"/>
      <c r="J8" s="42"/>
      <c r="K8" s="42"/>
      <c r="L8" s="42"/>
    </row>
    <row r="9">
      <c r="A9" s="42"/>
      <c r="B9" s="47" t="s">
        <v>764</v>
      </c>
      <c r="C9" s="43" t="s">
        <v>754</v>
      </c>
      <c r="D9" s="21"/>
      <c r="E9" s="21"/>
      <c r="F9" s="22"/>
      <c r="G9" s="43" t="s">
        <v>755</v>
      </c>
      <c r="H9" s="21"/>
      <c r="I9" s="22"/>
      <c r="J9" s="47" t="s">
        <v>760</v>
      </c>
      <c r="K9" s="51" t="s">
        <v>757</v>
      </c>
      <c r="L9" s="53" t="s">
        <v>761</v>
      </c>
    </row>
    <row r="10">
      <c r="A10" s="42"/>
      <c r="B10" s="54" t="s">
        <v>765</v>
      </c>
      <c r="C10" s="55">
        <v>107.04</v>
      </c>
      <c r="D10" s="55"/>
      <c r="E10" s="55"/>
      <c r="F10" s="56"/>
      <c r="G10" s="60">
        <f t="shared" ref="G10:G12" si="5">-1*((J10*C10)-C10)</f>
        <v>51.80736</v>
      </c>
      <c r="H10" s="55"/>
      <c r="I10" s="57"/>
      <c r="J10" s="58">
        <f t="shared" ref="J10:J12" si="6">L10*K10</f>
        <v>0.516</v>
      </c>
      <c r="K10" s="61">
        <v>0.05</v>
      </c>
      <c r="L10" s="55">
        <v>10.32</v>
      </c>
    </row>
    <row r="11">
      <c r="B11" s="54" t="s">
        <v>766</v>
      </c>
      <c r="C11" s="55">
        <v>107.04</v>
      </c>
      <c r="D11" s="55"/>
      <c r="E11" s="55"/>
      <c r="F11" s="56"/>
      <c r="G11" s="60">
        <f t="shared" si="5"/>
        <v>40.14</v>
      </c>
      <c r="H11" s="55"/>
      <c r="I11" s="57"/>
      <c r="J11" s="58">
        <f t="shared" si="6"/>
        <v>0.625</v>
      </c>
      <c r="K11" s="61">
        <v>0.05</v>
      </c>
      <c r="L11" s="55">
        <v>12.5</v>
      </c>
    </row>
    <row r="12">
      <c r="B12" s="54" t="s">
        <v>767</v>
      </c>
      <c r="C12" s="55">
        <v>107.04</v>
      </c>
      <c r="D12" s="55"/>
      <c r="E12" s="55"/>
      <c r="F12" s="56"/>
      <c r="G12" s="60">
        <f t="shared" si="5"/>
        <v>26.76</v>
      </c>
      <c r="H12" s="55"/>
      <c r="I12" s="57"/>
      <c r="J12" s="58">
        <f t="shared" si="6"/>
        <v>0.75</v>
      </c>
      <c r="K12" s="61">
        <v>0.05</v>
      </c>
      <c r="L12" s="55">
        <v>15.0</v>
      </c>
    </row>
    <row r="13">
      <c r="C13" s="63"/>
      <c r="G13" s="63"/>
      <c r="J13" s="64"/>
      <c r="K13" s="64"/>
      <c r="L13" s="4"/>
    </row>
    <row r="14">
      <c r="B14" s="65" t="s">
        <v>768</v>
      </c>
      <c r="C14" s="51" t="s">
        <v>769</v>
      </c>
      <c r="D14" s="65" t="s">
        <v>682</v>
      </c>
      <c r="E14" s="65" t="s">
        <v>770</v>
      </c>
      <c r="F14" s="65" t="s">
        <v>771</v>
      </c>
      <c r="G14" s="63"/>
      <c r="J14" s="64"/>
      <c r="K14" s="64"/>
      <c r="L14" s="4"/>
    </row>
    <row r="15">
      <c r="B15" s="39" t="s">
        <v>772</v>
      </c>
      <c r="C15" s="39" t="s">
        <v>34</v>
      </c>
      <c r="D15" s="36">
        <f>COUNTIF(Calculations!$F$3:$F$216,$C15)</f>
        <v>205</v>
      </c>
      <c r="E15" s="66">
        <f>SUMIF(Calculations!$F$3:$F$216,$C15,Calculations!$D$3:$D$216)/$N$2</f>
        <v>1343.2</v>
      </c>
      <c r="F15" s="37">
        <f>E16/E17</f>
        <v>0.3751395608</v>
      </c>
      <c r="G15" s="63"/>
    </row>
    <row r="16">
      <c r="B16" s="39" t="s">
        <v>773</v>
      </c>
      <c r="C16" s="39" t="s">
        <v>18</v>
      </c>
      <c r="D16" s="36">
        <f>COUNTIF(Calculations!$F$3:$F$216,$C16)</f>
        <v>9</v>
      </c>
      <c r="E16" s="66">
        <f>SUMIF(Calculations!$F$3:$F$216,$C16,Calculations!$D$3:$D$216)/$N$2</f>
        <v>806.4</v>
      </c>
      <c r="F16" s="37">
        <f>E15/E17</f>
        <v>0.6248604392</v>
      </c>
    </row>
    <row r="17">
      <c r="B17" s="67"/>
      <c r="C17" s="68" t="s">
        <v>681</v>
      </c>
      <c r="D17" s="69">
        <f t="shared" ref="D17:F17" si="7">SUM(D15:D16)</f>
        <v>214</v>
      </c>
      <c r="E17" s="70">
        <f t="shared" si="7"/>
        <v>2149.6</v>
      </c>
      <c r="F17" s="71">
        <f t="shared" si="7"/>
        <v>1</v>
      </c>
    </row>
    <row r="20">
      <c r="B20" s="72" t="s">
        <v>774</v>
      </c>
      <c r="C20" s="21"/>
      <c r="D20" s="22"/>
    </row>
    <row r="21">
      <c r="B21" s="39" t="s">
        <v>675</v>
      </c>
      <c r="C21" s="37">
        <f>average(Real_Estate_Stats!F2:F215)</f>
        <v>0.01179229765</v>
      </c>
      <c r="D21" s="34"/>
    </row>
    <row r="22">
      <c r="B22" s="39" t="s">
        <v>676</v>
      </c>
      <c r="C22" s="37">
        <f>median(Real_Estate_Stats!F2:F215)</f>
        <v>0.006360357143</v>
      </c>
      <c r="D22" s="34"/>
    </row>
    <row r="23">
      <c r="B23" s="72" t="s">
        <v>775</v>
      </c>
      <c r="C23" s="21"/>
      <c r="D23" s="22"/>
    </row>
    <row r="24">
      <c r="B24" s="65" t="s">
        <v>776</v>
      </c>
      <c r="C24" s="73" t="s">
        <v>777</v>
      </c>
      <c r="D24" s="65" t="s">
        <v>772</v>
      </c>
    </row>
    <row r="25">
      <c r="B25" s="39" t="s">
        <v>778</v>
      </c>
      <c r="C25" s="74">
        <f>SUM(Calculations!D3:D216)/N2</f>
        <v>2149.6</v>
      </c>
      <c r="D25" s="74">
        <f>SUMIF(Calculations!F3:F216,"N",Calculations!D3:D216)/N2</f>
        <v>1343.2</v>
      </c>
    </row>
    <row r="26">
      <c r="B26" s="39" t="s">
        <v>779</v>
      </c>
      <c r="C26" s="74">
        <f>SUM(Calculations!L3:L216)/N2</f>
        <v>2140.784938</v>
      </c>
      <c r="D26" s="74">
        <f>SUMIF(Calculations!F3:F216,"N",Calculations!L3:L216)/N2</f>
        <v>1335.166244</v>
      </c>
    </row>
    <row r="27">
      <c r="B27" s="68" t="s">
        <v>780</v>
      </c>
      <c r="C27" s="75">
        <f t="shared" ref="C27:D27" si="8">C25-C26</f>
        <v>8.815062032</v>
      </c>
      <c r="D27" s="75">
        <f t="shared" si="8"/>
        <v>8.03375621</v>
      </c>
    </row>
  </sheetData>
  <mergeCells count="8">
    <mergeCell ref="B2:I2"/>
    <mergeCell ref="J2:L3"/>
    <mergeCell ref="C3:F3"/>
    <mergeCell ref="G3:I3"/>
    <mergeCell ref="C9:F9"/>
    <mergeCell ref="G9:I9"/>
    <mergeCell ref="B20:D20"/>
    <mergeCell ref="B23:D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8.63"/>
    <col customWidth="1" min="2" max="2" width="22.5"/>
    <col customWidth="1" min="3" max="3" width="12.0"/>
    <col customWidth="1" min="4" max="4" width="20.5"/>
    <col customWidth="1" min="5" max="6" width="15.25"/>
    <col customWidth="1" min="7" max="7" width="14.38"/>
    <col customWidth="1" min="8" max="8" width="39.5"/>
    <col customWidth="1" min="9" max="9" width="28.75"/>
    <col customWidth="1" min="10" max="10" width="26.0"/>
    <col customWidth="1" min="11" max="11" width="26.63"/>
    <col customWidth="1" min="12" max="12" width="26.0"/>
    <col customWidth="1" min="13" max="14" width="31.5"/>
    <col customWidth="1" min="15" max="15" width="32.5"/>
    <col customWidth="1" min="16" max="22" width="27.88"/>
    <col customWidth="1" min="23" max="23" width="26.0"/>
    <col customWidth="1" min="24" max="24" width="77.5"/>
    <col customWidth="1" min="25" max="25" width="112.25"/>
    <col customWidth="1" min="26" max="42" width="8.63"/>
  </cols>
  <sheetData>
    <row r="1" ht="14.25" customHeight="1">
      <c r="A1" s="1"/>
      <c r="B1" s="1"/>
      <c r="C1" s="1"/>
      <c r="D1" s="23"/>
      <c r="E1" s="1"/>
      <c r="F1" s="24"/>
      <c r="G1" s="24"/>
      <c r="H1" s="24"/>
      <c r="I1" s="24"/>
      <c r="J1" s="24"/>
      <c r="K1" s="24"/>
      <c r="L1" s="25"/>
      <c r="M1" s="26"/>
      <c r="N1" s="25"/>
      <c r="O1" s="27" t="s">
        <v>691</v>
      </c>
      <c r="P1" s="21"/>
      <c r="Q1" s="21"/>
      <c r="R1" s="28" t="s">
        <v>692</v>
      </c>
      <c r="S1" s="21"/>
      <c r="T1" s="21"/>
      <c r="U1" s="22"/>
      <c r="V1" s="24"/>
      <c r="W1" s="24"/>
      <c r="X1" s="24"/>
      <c r="Y1" s="24"/>
    </row>
    <row r="2" ht="14.25" customHeight="1">
      <c r="A2" s="1" t="s">
        <v>0</v>
      </c>
      <c r="B2" s="1" t="s">
        <v>1</v>
      </c>
      <c r="C2" s="24" t="s">
        <v>693</v>
      </c>
      <c r="D2" s="23" t="s">
        <v>3</v>
      </c>
      <c r="E2" s="1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694</v>
      </c>
      <c r="L2" s="24" t="s">
        <v>695</v>
      </c>
      <c r="M2" s="24" t="s">
        <v>696</v>
      </c>
      <c r="N2" s="24" t="s">
        <v>697</v>
      </c>
      <c r="O2" s="24" t="s">
        <v>698</v>
      </c>
      <c r="P2" s="24" t="s">
        <v>699</v>
      </c>
      <c r="Q2" s="24" t="s">
        <v>700</v>
      </c>
      <c r="R2" s="24" t="s">
        <v>701</v>
      </c>
      <c r="S2" s="24" t="s">
        <v>702</v>
      </c>
      <c r="T2" s="24" t="s">
        <v>703</v>
      </c>
      <c r="U2" s="24" t="s">
        <v>704</v>
      </c>
      <c r="V2" s="24" t="s">
        <v>10</v>
      </c>
      <c r="W2" s="24" t="s">
        <v>11</v>
      </c>
      <c r="X2" s="24" t="s">
        <v>12</v>
      </c>
      <c r="Y2" s="24" t="s">
        <v>13</v>
      </c>
    </row>
    <row r="3" ht="14.25" customHeight="1">
      <c r="A3" s="4">
        <v>1.0</v>
      </c>
      <c r="B3" s="2" t="s">
        <v>15</v>
      </c>
      <c r="C3" s="2" t="s">
        <v>16</v>
      </c>
      <c r="D3" s="3">
        <v>2.562E11</v>
      </c>
      <c r="E3" s="2" t="s">
        <v>17</v>
      </c>
      <c r="F3" s="4" t="str">
        <f>VLOOKUP(B3,Raw_Data_Collection!$B$2:$F$215,5,FALSE)</f>
        <v>Y</v>
      </c>
      <c r="G3" s="3">
        <f>VLOOKUP(B3,Raw_Data_Collection!$B$2:$J$215,6,FALSE)</f>
        <v>101500000</v>
      </c>
      <c r="H3" s="5" t="s">
        <v>19</v>
      </c>
      <c r="I3" s="4">
        <v>2024.0</v>
      </c>
      <c r="J3" s="2" t="str">
        <f>VLOOKUP(B3,Raw_Data_Collection!$B$2:$J$215,9,FALSE)</f>
        <v/>
      </c>
      <c r="K3" s="18">
        <f>VLOOKUP(B3,Real_Estate_Stats_Preferred!$A$2:$G$215,7,FALSE)</f>
        <v>101500000</v>
      </c>
      <c r="L3" s="18">
        <f t="shared" ref="L3:L214" si="1">D3-K3</f>
        <v>256098500000</v>
      </c>
      <c r="M3" s="4">
        <v>0.37</v>
      </c>
      <c r="N3" s="4">
        <v>0.05</v>
      </c>
      <c r="O3" s="29">
        <f t="shared" ref="O3:O214" si="2">L3*N3</f>
        <v>12804925000</v>
      </c>
      <c r="P3" s="29">
        <f t="shared" ref="P3:P214" si="3">O3/(1-M3)</f>
        <v>20325277778</v>
      </c>
      <c r="Q3" s="29">
        <f t="shared" ref="Q3:Q214" si="4">P3*M3</f>
        <v>7520352778</v>
      </c>
      <c r="R3" s="4">
        <v>0.075</v>
      </c>
      <c r="S3" s="29">
        <f t="shared" ref="S3:S214" si="5">L3*N3 + (L3*N3*R3*(4+3+2+1+0)/5)</f>
        <v>14725663750</v>
      </c>
      <c r="T3" s="29">
        <f t="shared" ref="T3:T214" si="6">S3/(1-M3)</f>
        <v>23374069444</v>
      </c>
      <c r="U3" s="29">
        <f t="shared" ref="U3:U214" si="7">T3*M3</f>
        <v>8648405694</v>
      </c>
      <c r="X3" s="4" t="s">
        <v>20</v>
      </c>
      <c r="Y3" s="6" t="s">
        <v>21</v>
      </c>
    </row>
    <row r="4" ht="14.25" customHeight="1">
      <c r="A4" s="4">
        <v>2.0</v>
      </c>
      <c r="B4" s="2" t="s">
        <v>28</v>
      </c>
      <c r="C4" s="2" t="s">
        <v>29</v>
      </c>
      <c r="D4" s="3">
        <v>2.364E11</v>
      </c>
      <c r="E4" s="2" t="s">
        <v>30</v>
      </c>
      <c r="F4" s="4" t="str">
        <f>VLOOKUP(B4,Raw_Data_Collection!$B$2:$F$215,5,FALSE)</f>
        <v>Y</v>
      </c>
      <c r="G4" s="3">
        <f>VLOOKUP(B4,Raw_Data_Collection!$B$2:$J$215,6,FALSE)</f>
        <v>35000000</v>
      </c>
      <c r="I4" s="4">
        <v>2025.0</v>
      </c>
      <c r="J4" s="2" t="str">
        <f>VLOOKUP(B4,Raw_Data_Collection!$B$2:$J$215,9,FALSE)</f>
        <v/>
      </c>
      <c r="K4" s="18">
        <f>VLOOKUP(B4,Real_Estate_Stats_Preferred!$A$2:$G$215,7,FALSE)</f>
        <v>35000000</v>
      </c>
      <c r="L4" s="18">
        <f t="shared" si="1"/>
        <v>236365000000</v>
      </c>
      <c r="M4" s="4">
        <v>0.37</v>
      </c>
      <c r="N4" s="4">
        <v>0.05</v>
      </c>
      <c r="O4" s="29">
        <f t="shared" si="2"/>
        <v>11818250000</v>
      </c>
      <c r="P4" s="29">
        <f t="shared" si="3"/>
        <v>18759126984</v>
      </c>
      <c r="Q4" s="29">
        <f t="shared" si="4"/>
        <v>6940876984</v>
      </c>
      <c r="R4" s="4">
        <v>0.075</v>
      </c>
      <c r="S4" s="29">
        <f t="shared" si="5"/>
        <v>13590987500</v>
      </c>
      <c r="T4" s="29">
        <f t="shared" si="6"/>
        <v>21572996032</v>
      </c>
      <c r="U4" s="29">
        <f t="shared" si="7"/>
        <v>7982008532</v>
      </c>
      <c r="V4" s="4"/>
      <c r="W4" s="4"/>
      <c r="Y4" s="5" t="s">
        <v>31</v>
      </c>
    </row>
    <row r="5" ht="14.25" customHeight="1">
      <c r="A5" s="4">
        <v>3.0</v>
      </c>
      <c r="B5" s="2" t="s">
        <v>32</v>
      </c>
      <c r="C5" s="2" t="s">
        <v>33</v>
      </c>
      <c r="D5" s="3">
        <v>2.251E11</v>
      </c>
      <c r="E5" s="2" t="s">
        <v>17</v>
      </c>
      <c r="F5" s="4" t="str">
        <f>VLOOKUP(B5,Raw_Data_Collection!$B$2:$F$215,5,FALSE)</f>
        <v>N</v>
      </c>
      <c r="G5" s="3">
        <f>VLOOKUP(B5,Raw_Data_Collection!$B$2:$J$215,6,FALSE)</f>
        <v>112000000</v>
      </c>
      <c r="H5" s="5" t="s">
        <v>35</v>
      </c>
      <c r="I5" s="4">
        <v>2025.0</v>
      </c>
      <c r="J5" s="18">
        <f>VLOOKUP(B5,Raw_Data_Collection!$B$2:$J$215,9,FALSE)</f>
        <v>300000000</v>
      </c>
      <c r="K5" s="18">
        <f>VLOOKUP(B5,Real_Estate_Stats_Preferred!$A$2:$G$215,7,FALSE)</f>
        <v>300000000</v>
      </c>
      <c r="L5" s="18">
        <f t="shared" si="1"/>
        <v>224800000000</v>
      </c>
      <c r="M5" s="4">
        <v>0.37</v>
      </c>
      <c r="N5" s="4">
        <v>0.05</v>
      </c>
      <c r="O5" s="29">
        <f t="shared" si="2"/>
        <v>11240000000</v>
      </c>
      <c r="P5" s="29">
        <f t="shared" si="3"/>
        <v>17841269841</v>
      </c>
      <c r="Q5" s="29">
        <f t="shared" si="4"/>
        <v>6601269841</v>
      </c>
      <c r="R5" s="4">
        <v>0.075</v>
      </c>
      <c r="S5" s="29">
        <f t="shared" si="5"/>
        <v>12926000000</v>
      </c>
      <c r="T5" s="29">
        <f t="shared" si="6"/>
        <v>20517460317</v>
      </c>
      <c r="U5" s="29">
        <f t="shared" si="7"/>
        <v>7591460317</v>
      </c>
      <c r="V5" s="4" t="s">
        <v>36</v>
      </c>
      <c r="W5" s="6" t="s">
        <v>37</v>
      </c>
      <c r="X5" s="4" t="s">
        <v>38</v>
      </c>
    </row>
    <row r="6" ht="14.25" customHeight="1">
      <c r="A6" s="4">
        <v>4.0</v>
      </c>
      <c r="B6" s="2" t="s">
        <v>39</v>
      </c>
      <c r="C6" s="2" t="s">
        <v>40</v>
      </c>
      <c r="D6" s="3">
        <v>1.626E11</v>
      </c>
      <c r="E6" s="2" t="s">
        <v>30</v>
      </c>
      <c r="F6" s="4" t="str">
        <f>VLOOKUP(B6,Raw_Data_Collection!$B$2:$F$215,5,FALSE)</f>
        <v>N</v>
      </c>
      <c r="G6" s="3">
        <f>VLOOKUP(B6,Raw_Data_Collection!$B$2:$J$215,6,FALSE)</f>
        <v>6900000</v>
      </c>
      <c r="H6" s="5" t="s">
        <v>41</v>
      </c>
      <c r="I6" s="4">
        <v>2025.0</v>
      </c>
      <c r="J6" s="18">
        <f>VLOOKUP(B6,Raw_Data_Collection!$B$2:$J$215,9,FALSE)</f>
        <v>52400000</v>
      </c>
      <c r="K6" s="18">
        <f>VLOOKUP(B6,Real_Estate_Stats_Preferred!$A$2:$G$215,7,FALSE)</f>
        <v>52400000</v>
      </c>
      <c r="L6" s="18">
        <f t="shared" si="1"/>
        <v>162547600000</v>
      </c>
      <c r="M6" s="4">
        <v>0.37</v>
      </c>
      <c r="N6" s="4">
        <v>0.05</v>
      </c>
      <c r="O6" s="29">
        <f t="shared" si="2"/>
        <v>8127380000</v>
      </c>
      <c r="P6" s="29">
        <f t="shared" si="3"/>
        <v>12900603175</v>
      </c>
      <c r="Q6" s="29">
        <f t="shared" si="4"/>
        <v>4773223175</v>
      </c>
      <c r="R6" s="4">
        <v>0.075</v>
      </c>
      <c r="S6" s="29">
        <f t="shared" si="5"/>
        <v>9346487000</v>
      </c>
      <c r="T6" s="29">
        <f t="shared" si="6"/>
        <v>14835693651</v>
      </c>
      <c r="U6" s="29">
        <f t="shared" si="7"/>
        <v>5489206651</v>
      </c>
      <c r="V6" s="4">
        <v>2004.0</v>
      </c>
      <c r="W6" s="6" t="s">
        <v>42</v>
      </c>
      <c r="X6" s="4" t="s">
        <v>43</v>
      </c>
      <c r="Y6" s="5" t="s">
        <v>44</v>
      </c>
    </row>
    <row r="7" ht="14.25" customHeight="1">
      <c r="A7" s="4">
        <v>5.0</v>
      </c>
      <c r="B7" s="2" t="s">
        <v>45</v>
      </c>
      <c r="C7" s="2" t="s">
        <v>46</v>
      </c>
      <c r="D7" s="3">
        <v>3.56E10</v>
      </c>
      <c r="E7" s="4" t="s">
        <v>47</v>
      </c>
      <c r="F7" s="4" t="str">
        <f>VLOOKUP(B7,Raw_Data_Collection!$B$2:$F$215,5,FALSE)</f>
        <v>N</v>
      </c>
      <c r="G7" s="3">
        <f>VLOOKUP(B7,Raw_Data_Collection!$B$2:$J$215,6,FALSE)</f>
        <v>110000000</v>
      </c>
      <c r="I7" s="4">
        <v>2025.0</v>
      </c>
      <c r="J7" s="18">
        <f>VLOOKUP(B7,Raw_Data_Collection!$B$2:$J$215,9,FALSE)</f>
        <v>600000000</v>
      </c>
      <c r="K7" s="18">
        <f>VLOOKUP(B7,Real_Estate_Stats_Preferred!$A$2:$G$215,7,FALSE)</f>
        <v>600000000</v>
      </c>
      <c r="L7" s="18">
        <f t="shared" si="1"/>
        <v>35000000000</v>
      </c>
      <c r="M7" s="4">
        <v>0.37</v>
      </c>
      <c r="N7" s="4">
        <v>0.05</v>
      </c>
      <c r="O7" s="29">
        <f t="shared" si="2"/>
        <v>1750000000</v>
      </c>
      <c r="P7" s="29">
        <f t="shared" si="3"/>
        <v>2777777778</v>
      </c>
      <c r="Q7" s="29">
        <f t="shared" si="4"/>
        <v>1027777778</v>
      </c>
      <c r="R7" s="4">
        <v>0.075</v>
      </c>
      <c r="S7" s="29">
        <f t="shared" si="5"/>
        <v>2012500000</v>
      </c>
      <c r="T7" s="29">
        <f t="shared" si="6"/>
        <v>3194444444</v>
      </c>
      <c r="U7" s="29">
        <f t="shared" si="7"/>
        <v>1181944444</v>
      </c>
      <c r="V7" s="4">
        <v>2025.0</v>
      </c>
      <c r="W7" s="6" t="s">
        <v>48</v>
      </c>
      <c r="X7" s="4" t="s">
        <v>49</v>
      </c>
    </row>
    <row r="8" ht="14.25" customHeight="1">
      <c r="A8" s="4">
        <v>6.0</v>
      </c>
      <c r="B8" s="2" t="s">
        <v>50</v>
      </c>
      <c r="C8" s="2" t="s">
        <v>51</v>
      </c>
      <c r="D8" s="3">
        <v>3.2E10</v>
      </c>
      <c r="E8" s="2" t="s">
        <v>52</v>
      </c>
      <c r="F8" s="4" t="str">
        <f>VLOOKUP(B8,Raw_Data_Collection!$B$2:$F$215,5,FALSE)</f>
        <v>N</v>
      </c>
      <c r="G8" s="3">
        <f>VLOOKUP(B8,Raw_Data_Collection!$B$2:$J$215,6,FALSE)</f>
        <v>20150000</v>
      </c>
      <c r="H8" s="5" t="s">
        <v>53</v>
      </c>
      <c r="I8" s="4">
        <v>2024.0</v>
      </c>
      <c r="J8" s="18">
        <f>VLOOKUP(B8,Raw_Data_Collection!$B$2:$J$215,9,FALSE)</f>
        <v>20150000</v>
      </c>
      <c r="K8" s="18">
        <f>VLOOKUP(B8,Real_Estate_Stats_Preferred!$A$2:$G$215,7,FALSE)</f>
        <v>20150000</v>
      </c>
      <c r="L8" s="18">
        <f t="shared" si="1"/>
        <v>31979850000</v>
      </c>
      <c r="M8" s="4">
        <v>0.37</v>
      </c>
      <c r="N8" s="4">
        <v>0.05</v>
      </c>
      <c r="O8" s="29">
        <f t="shared" si="2"/>
        <v>1598992500</v>
      </c>
      <c r="P8" s="29">
        <f t="shared" si="3"/>
        <v>2538083333</v>
      </c>
      <c r="Q8" s="29">
        <f t="shared" si="4"/>
        <v>939090833.3</v>
      </c>
      <c r="R8" s="4">
        <v>0.075</v>
      </c>
      <c r="S8" s="29">
        <f t="shared" si="5"/>
        <v>1838841375</v>
      </c>
      <c r="T8" s="29">
        <f t="shared" si="6"/>
        <v>2918795833</v>
      </c>
      <c r="U8" s="29">
        <f t="shared" si="7"/>
        <v>1079954458</v>
      </c>
      <c r="V8" s="4">
        <v>2024.0</v>
      </c>
      <c r="W8" s="5" t="s">
        <v>53</v>
      </c>
      <c r="X8" s="4" t="s">
        <v>54</v>
      </c>
    </row>
    <row r="9" ht="14.25" customHeight="1">
      <c r="A9" s="4">
        <v>7.0</v>
      </c>
      <c r="B9" s="2" t="s">
        <v>55</v>
      </c>
      <c r="C9" s="2" t="s">
        <v>56</v>
      </c>
      <c r="D9" s="3">
        <v>2.67E10</v>
      </c>
      <c r="E9" s="2" t="s">
        <v>47</v>
      </c>
      <c r="F9" s="4" t="str">
        <f>VLOOKUP(B9,Raw_Data_Collection!$B$2:$F$215,5,FALSE)</f>
        <v>Y</v>
      </c>
      <c r="G9" s="3">
        <f>VLOOKUP(B9,Raw_Data_Collection!$B$2:$J$215,6,FALSE)</f>
        <v>11500000</v>
      </c>
      <c r="H9" s="5" t="s">
        <v>57</v>
      </c>
      <c r="I9" s="4">
        <v>2018.0</v>
      </c>
      <c r="J9" s="18">
        <f>VLOOKUP(B9,Raw_Data_Collection!$B$2:$J$215,9,FALSE)</f>
        <v>77200000</v>
      </c>
      <c r="K9" s="18">
        <f>VLOOKUP(B9,Real_Estate_Stats_Preferred!$A$2:$G$215,7,FALSE)</f>
        <v>77200000</v>
      </c>
      <c r="L9" s="18">
        <f t="shared" si="1"/>
        <v>26622800000</v>
      </c>
      <c r="M9" s="4">
        <v>0.37</v>
      </c>
      <c r="N9" s="4">
        <v>0.05</v>
      </c>
      <c r="O9" s="29">
        <f t="shared" si="2"/>
        <v>1331140000</v>
      </c>
      <c r="P9" s="29">
        <f t="shared" si="3"/>
        <v>2112920635</v>
      </c>
      <c r="Q9" s="29">
        <f t="shared" si="4"/>
        <v>781780634.9</v>
      </c>
      <c r="R9" s="4">
        <v>0.075</v>
      </c>
      <c r="S9" s="29">
        <f t="shared" si="5"/>
        <v>1530811000</v>
      </c>
      <c r="T9" s="29">
        <f t="shared" si="6"/>
        <v>2429858730</v>
      </c>
      <c r="U9" s="29">
        <f t="shared" si="7"/>
        <v>899047730.2</v>
      </c>
      <c r="V9" s="4" t="s">
        <v>58</v>
      </c>
      <c r="W9" s="4" t="s">
        <v>59</v>
      </c>
      <c r="Y9" s="5" t="s">
        <v>60</v>
      </c>
    </row>
    <row r="10" ht="14.25" customHeight="1">
      <c r="A10" s="4">
        <v>8.0</v>
      </c>
      <c r="B10" s="2" t="s">
        <v>61</v>
      </c>
      <c r="C10" s="2" t="s">
        <v>62</v>
      </c>
      <c r="D10" s="3">
        <v>2.55E10</v>
      </c>
      <c r="E10" s="2" t="s">
        <v>63</v>
      </c>
      <c r="F10" s="4" t="str">
        <f>VLOOKUP(B10,Raw_Data_Collection!$B$2:$F$215,5,FALSE)</f>
        <v>N</v>
      </c>
      <c r="G10" s="3">
        <f>VLOOKUP(B10,Raw_Data_Collection!$B$2:$J$215,6,FALSE)</f>
        <v>21550000</v>
      </c>
      <c r="H10" s="5" t="s">
        <v>64</v>
      </c>
      <c r="I10" s="4">
        <v>2024.0</v>
      </c>
      <c r="J10" s="2" t="str">
        <f>VLOOKUP(B10,Raw_Data_Collection!$B$2:$J$215,9,FALSE)</f>
        <v/>
      </c>
      <c r="K10" s="18">
        <f>VLOOKUP(B10,Real_Estate_Stats_Preferred!$A$2:$G$215,7,FALSE)</f>
        <v>21550000</v>
      </c>
      <c r="L10" s="18">
        <f t="shared" si="1"/>
        <v>25478450000</v>
      </c>
      <c r="M10" s="4">
        <v>0.37</v>
      </c>
      <c r="N10" s="4">
        <v>0.05</v>
      </c>
      <c r="O10" s="29">
        <f t="shared" si="2"/>
        <v>1273922500</v>
      </c>
      <c r="P10" s="29">
        <f t="shared" si="3"/>
        <v>2022099206</v>
      </c>
      <c r="Q10" s="29">
        <f t="shared" si="4"/>
        <v>748176706.3</v>
      </c>
      <c r="R10" s="4">
        <v>0.075</v>
      </c>
      <c r="S10" s="29">
        <f t="shared" si="5"/>
        <v>1465010875</v>
      </c>
      <c r="T10" s="29">
        <f t="shared" si="6"/>
        <v>2325414087</v>
      </c>
      <c r="U10" s="29">
        <f t="shared" si="7"/>
        <v>860403212.3</v>
      </c>
      <c r="X10" s="4" t="s">
        <v>65</v>
      </c>
    </row>
    <row r="11" ht="14.25" customHeight="1">
      <c r="A11" s="4">
        <v>9.0</v>
      </c>
      <c r="B11" s="2" t="s">
        <v>66</v>
      </c>
      <c r="C11" s="2" t="s">
        <v>67</v>
      </c>
      <c r="D11" s="3">
        <v>2.5E10</v>
      </c>
      <c r="E11" s="2" t="s">
        <v>68</v>
      </c>
      <c r="F11" s="4" t="str">
        <f>VLOOKUP(B11,Raw_Data_Collection!$B$2:$F$215,5,FALSE)</f>
        <v>N</v>
      </c>
      <c r="G11" s="3" t="str">
        <f>VLOOKUP(B11,Raw_Data_Collection!$B$2:$J$215,6,FALSE)</f>
        <v/>
      </c>
      <c r="J11" s="2" t="str">
        <f>VLOOKUP(B11,Raw_Data_Collection!$B$2:$J$215,9,FALSE)</f>
        <v/>
      </c>
      <c r="K11" s="18">
        <f>VLOOKUP(B11,Real_Estate_Stats_Preferred!$A$2:$G$215,7,FALSE)</f>
        <v>159008928.6</v>
      </c>
      <c r="L11" s="18">
        <f t="shared" si="1"/>
        <v>24840991071</v>
      </c>
      <c r="M11" s="4">
        <v>0.37</v>
      </c>
      <c r="N11" s="4">
        <v>0.05</v>
      </c>
      <c r="O11" s="29">
        <f t="shared" si="2"/>
        <v>1242049554</v>
      </c>
      <c r="P11" s="29">
        <f t="shared" si="3"/>
        <v>1971507228</v>
      </c>
      <c r="Q11" s="29">
        <f t="shared" si="4"/>
        <v>729457674.3</v>
      </c>
      <c r="R11" s="4">
        <v>0.075</v>
      </c>
      <c r="S11" s="29">
        <f t="shared" si="5"/>
        <v>1428356987</v>
      </c>
      <c r="T11" s="29">
        <f t="shared" si="6"/>
        <v>2267233312</v>
      </c>
      <c r="U11" s="29">
        <f t="shared" si="7"/>
        <v>838876325.5</v>
      </c>
    </row>
    <row r="12" ht="14.25" customHeight="1">
      <c r="A12" s="4">
        <v>10.0</v>
      </c>
      <c r="B12" s="2" t="s">
        <v>70</v>
      </c>
      <c r="C12" s="2" t="s">
        <v>71</v>
      </c>
      <c r="D12" s="3">
        <v>2.19E10</v>
      </c>
      <c r="E12" s="2" t="s">
        <v>72</v>
      </c>
      <c r="F12" s="4" t="str">
        <f>VLOOKUP(B12,Raw_Data_Collection!$B$2:$F$215,5,FALSE)</f>
        <v>N</v>
      </c>
      <c r="G12" s="3">
        <f>VLOOKUP(B12,Raw_Data_Collection!$B$2:$J$215,6,FALSE)</f>
        <v>19777777</v>
      </c>
      <c r="H12" s="5" t="s">
        <v>73</v>
      </c>
      <c r="I12" s="4">
        <v>2010.0</v>
      </c>
      <c r="J12" s="18">
        <f>VLOOKUP(B12,Raw_Data_Collection!$B$2:$J$215,9,FALSE)</f>
        <v>19777777</v>
      </c>
      <c r="K12" s="18">
        <f>VLOOKUP(B12,Real_Estate_Stats_Preferred!$A$2:$G$215,7,FALSE)</f>
        <v>19777777</v>
      </c>
      <c r="L12" s="18">
        <f t="shared" si="1"/>
        <v>21880222223</v>
      </c>
      <c r="M12" s="4">
        <v>0.37</v>
      </c>
      <c r="N12" s="4">
        <v>0.05</v>
      </c>
      <c r="O12" s="29">
        <f t="shared" si="2"/>
        <v>1094011111</v>
      </c>
      <c r="P12" s="29">
        <f t="shared" si="3"/>
        <v>1736525573</v>
      </c>
      <c r="Q12" s="29">
        <f t="shared" si="4"/>
        <v>642514462.1</v>
      </c>
      <c r="R12" s="4">
        <v>0.075</v>
      </c>
      <c r="S12" s="29">
        <f t="shared" si="5"/>
        <v>1258112778</v>
      </c>
      <c r="T12" s="29">
        <f t="shared" si="6"/>
        <v>1997004409</v>
      </c>
      <c r="U12" s="29">
        <f t="shared" si="7"/>
        <v>738891631.4</v>
      </c>
      <c r="V12" s="4">
        <v>2010.0</v>
      </c>
      <c r="W12" s="5" t="s">
        <v>73</v>
      </c>
    </row>
    <row r="13" ht="14.25" customHeight="1">
      <c r="A13" s="4">
        <v>11.0</v>
      </c>
      <c r="B13" s="2" t="s">
        <v>74</v>
      </c>
      <c r="C13" s="2" t="s">
        <v>75</v>
      </c>
      <c r="D13" s="3">
        <v>2.0E10</v>
      </c>
      <c r="E13" s="2" t="s">
        <v>24</v>
      </c>
      <c r="F13" s="4" t="str">
        <f>VLOOKUP(B13,Raw_Data_Collection!$B$2:$F$215,5,FALSE)</f>
        <v>N</v>
      </c>
      <c r="G13" s="3" t="str">
        <f>VLOOKUP(B13,Raw_Data_Collection!$B$2:$J$215,6,FALSE)</f>
        <v/>
      </c>
      <c r="J13" s="2" t="str">
        <f>VLOOKUP(B13,Raw_Data_Collection!$B$2:$J$215,9,FALSE)</f>
        <v/>
      </c>
      <c r="K13" s="18">
        <f>VLOOKUP(B13,Real_Estate_Stats_Preferred!$A$2:$G$215,7,FALSE)</f>
        <v>127207142.9</v>
      </c>
      <c r="L13" s="18">
        <f t="shared" si="1"/>
        <v>19872792857</v>
      </c>
      <c r="M13" s="4">
        <v>0.37</v>
      </c>
      <c r="N13" s="4">
        <v>0.05</v>
      </c>
      <c r="O13" s="29">
        <f t="shared" si="2"/>
        <v>993639642.9</v>
      </c>
      <c r="P13" s="29">
        <f t="shared" si="3"/>
        <v>1577205782</v>
      </c>
      <c r="Q13" s="29">
        <f t="shared" si="4"/>
        <v>583566139.5</v>
      </c>
      <c r="R13" s="4">
        <v>0.075</v>
      </c>
      <c r="S13" s="29">
        <f t="shared" si="5"/>
        <v>1142685589</v>
      </c>
      <c r="T13" s="29">
        <f t="shared" si="6"/>
        <v>1813786650</v>
      </c>
      <c r="U13" s="29">
        <f t="shared" si="7"/>
        <v>671101060.4</v>
      </c>
    </row>
    <row r="14" ht="14.25" customHeight="1">
      <c r="A14" s="4">
        <v>12.0</v>
      </c>
      <c r="B14" s="2" t="s">
        <v>76</v>
      </c>
      <c r="C14" s="2" t="s">
        <v>77</v>
      </c>
      <c r="D14" s="3">
        <v>1.92E10</v>
      </c>
      <c r="E14" s="2" t="s">
        <v>52</v>
      </c>
      <c r="F14" s="4" t="str">
        <f>VLOOKUP(B14,Raw_Data_Collection!$B$2:$F$215,5,FALSE)</f>
        <v>N</v>
      </c>
      <c r="G14" s="3" t="str">
        <f>VLOOKUP(B14,Raw_Data_Collection!$B$2:$J$215,6,FALSE)</f>
        <v/>
      </c>
      <c r="I14" s="4"/>
      <c r="J14" s="2" t="str">
        <f>VLOOKUP(B14,Raw_Data_Collection!$B$2:$J$215,9,FALSE)</f>
        <v/>
      </c>
      <c r="K14" s="18">
        <f>VLOOKUP(B14,Real_Estate_Stats_Preferred!$A$2:$G$215,7,FALSE)</f>
        <v>122118857.1</v>
      </c>
      <c r="L14" s="18">
        <f t="shared" si="1"/>
        <v>19077881143</v>
      </c>
      <c r="M14" s="4">
        <v>0.37</v>
      </c>
      <c r="N14" s="4">
        <v>0.05</v>
      </c>
      <c r="O14" s="29">
        <f t="shared" si="2"/>
        <v>953894057.1</v>
      </c>
      <c r="P14" s="29">
        <f t="shared" si="3"/>
        <v>1514117551</v>
      </c>
      <c r="Q14" s="29">
        <f t="shared" si="4"/>
        <v>560223493.9</v>
      </c>
      <c r="R14" s="4">
        <v>0.075</v>
      </c>
      <c r="S14" s="29">
        <f t="shared" si="5"/>
        <v>1096978166</v>
      </c>
      <c r="T14" s="29">
        <f t="shared" si="6"/>
        <v>1741235184</v>
      </c>
      <c r="U14" s="29">
        <f t="shared" si="7"/>
        <v>644257018</v>
      </c>
      <c r="V14" s="4"/>
      <c r="W14" s="4"/>
    </row>
    <row r="15" ht="14.25" customHeight="1">
      <c r="A15" s="4">
        <v>13.0</v>
      </c>
      <c r="B15" s="2" t="s">
        <v>78</v>
      </c>
      <c r="C15" s="2" t="s">
        <v>79</v>
      </c>
      <c r="D15" s="3">
        <v>1.79E10</v>
      </c>
      <c r="E15" s="2" t="s">
        <v>80</v>
      </c>
      <c r="F15" s="4" t="str">
        <f>VLOOKUP(B15,Raw_Data_Collection!$B$2:$F$215,5,FALSE)</f>
        <v>N</v>
      </c>
      <c r="G15" s="3">
        <f>VLOOKUP(B15,Raw_Data_Collection!$B$2:$J$215,6,FALSE)</f>
        <v>54000000</v>
      </c>
      <c r="H15" s="5" t="s">
        <v>81</v>
      </c>
      <c r="I15" s="4">
        <v>2023.0</v>
      </c>
      <c r="J15" s="2" t="str">
        <f>VLOOKUP(B15,Raw_Data_Collection!$B$2:$J$215,9,FALSE)</f>
        <v/>
      </c>
      <c r="K15" s="18">
        <f>VLOOKUP(B15,Real_Estate_Stats_Preferred!$A$2:$G$215,7,FALSE)</f>
        <v>54000000</v>
      </c>
      <c r="L15" s="18">
        <f t="shared" si="1"/>
        <v>17846000000</v>
      </c>
      <c r="M15" s="4">
        <v>0.37</v>
      </c>
      <c r="N15" s="4">
        <v>0.05</v>
      </c>
      <c r="O15" s="29">
        <f t="shared" si="2"/>
        <v>892300000</v>
      </c>
      <c r="P15" s="29">
        <f t="shared" si="3"/>
        <v>1416349206</v>
      </c>
      <c r="Q15" s="29">
        <f t="shared" si="4"/>
        <v>524049206.3</v>
      </c>
      <c r="R15" s="4">
        <v>0.075</v>
      </c>
      <c r="S15" s="29">
        <f t="shared" si="5"/>
        <v>1026145000</v>
      </c>
      <c r="T15" s="29">
        <f t="shared" si="6"/>
        <v>1628801587</v>
      </c>
      <c r="U15" s="29">
        <f t="shared" si="7"/>
        <v>602656587.3</v>
      </c>
      <c r="V15" s="4"/>
      <c r="W15" s="4"/>
    </row>
    <row r="16" ht="14.25" customHeight="1">
      <c r="A16" s="4">
        <v>14.0</v>
      </c>
      <c r="B16" s="2" t="s">
        <v>82</v>
      </c>
      <c r="C16" s="2" t="s">
        <v>83</v>
      </c>
      <c r="D16" s="3">
        <v>1.75E10</v>
      </c>
      <c r="E16" s="2" t="s">
        <v>84</v>
      </c>
      <c r="F16" s="4" t="str">
        <f>VLOOKUP(B16,Raw_Data_Collection!$B$2:$F$215,5,FALSE)</f>
        <v>N</v>
      </c>
      <c r="G16" s="3">
        <f>VLOOKUP(B16,Raw_Data_Collection!$B$2:$J$215,6,FALSE)</f>
        <v>7250000</v>
      </c>
      <c r="H16" s="5" t="s">
        <v>85</v>
      </c>
      <c r="I16" s="4">
        <v>2011.0</v>
      </c>
      <c r="J16" s="2" t="str">
        <f>VLOOKUP(B16,Raw_Data_Collection!$B$2:$J$215,9,FALSE)</f>
        <v/>
      </c>
      <c r="K16" s="18">
        <f>VLOOKUP(B16,Real_Estate_Stats_Preferred!$A$2:$G$215,7,FALSE)</f>
        <v>7250000</v>
      </c>
      <c r="L16" s="18">
        <f t="shared" si="1"/>
        <v>17492750000</v>
      </c>
      <c r="M16" s="4">
        <v>0.37</v>
      </c>
      <c r="N16" s="4">
        <v>0.05</v>
      </c>
      <c r="O16" s="29">
        <f t="shared" si="2"/>
        <v>874637500</v>
      </c>
      <c r="P16" s="29">
        <f t="shared" si="3"/>
        <v>1388313492</v>
      </c>
      <c r="Q16" s="29">
        <f t="shared" si="4"/>
        <v>513675992.1</v>
      </c>
      <c r="R16" s="4">
        <v>0.075</v>
      </c>
      <c r="S16" s="29">
        <f t="shared" si="5"/>
        <v>1005833125</v>
      </c>
      <c r="T16" s="29">
        <f t="shared" si="6"/>
        <v>1596560516</v>
      </c>
      <c r="U16" s="29">
        <f t="shared" si="7"/>
        <v>590727390.9</v>
      </c>
      <c r="V16" s="4"/>
      <c r="W16" s="4"/>
    </row>
    <row r="17" ht="14.25" customHeight="1">
      <c r="A17" s="4">
        <v>15.0</v>
      </c>
      <c r="B17" s="2" t="s">
        <v>86</v>
      </c>
      <c r="C17" s="2" t="s">
        <v>83</v>
      </c>
      <c r="D17" s="3">
        <v>1.75E10</v>
      </c>
      <c r="E17" s="2" t="s">
        <v>87</v>
      </c>
      <c r="F17" s="4" t="str">
        <f>VLOOKUP(B17,Raw_Data_Collection!$B$2:$F$215,5,FALSE)</f>
        <v>N</v>
      </c>
      <c r="G17" s="3" t="str">
        <f>VLOOKUP(B17,Raw_Data_Collection!$B$2:$J$215,6,FALSE)</f>
        <v/>
      </c>
      <c r="J17" s="2" t="str">
        <f>VLOOKUP(B17,Raw_Data_Collection!$B$2:$J$215,9,FALSE)</f>
        <v/>
      </c>
      <c r="K17" s="18">
        <f>VLOOKUP(B17,Real_Estate_Stats_Preferred!$A$2:$G$215,7,FALSE)</f>
        <v>111306250</v>
      </c>
      <c r="L17" s="18">
        <f t="shared" si="1"/>
        <v>17388693750</v>
      </c>
      <c r="M17" s="4">
        <v>0.37</v>
      </c>
      <c r="N17" s="4">
        <v>0.05</v>
      </c>
      <c r="O17" s="29">
        <f t="shared" si="2"/>
        <v>869434687.5</v>
      </c>
      <c r="P17" s="29">
        <f t="shared" si="3"/>
        <v>1380055060</v>
      </c>
      <c r="Q17" s="29">
        <f t="shared" si="4"/>
        <v>510620372</v>
      </c>
      <c r="R17" s="4">
        <v>0.075</v>
      </c>
      <c r="S17" s="29">
        <f t="shared" si="5"/>
        <v>999849890.6</v>
      </c>
      <c r="T17" s="29">
        <f t="shared" si="6"/>
        <v>1587063318</v>
      </c>
      <c r="U17" s="29">
        <f t="shared" si="7"/>
        <v>587213427.8</v>
      </c>
    </row>
    <row r="18" ht="14.25" customHeight="1">
      <c r="A18" s="4">
        <v>16.0</v>
      </c>
      <c r="B18" s="2" t="s">
        <v>88</v>
      </c>
      <c r="C18" s="2" t="s">
        <v>89</v>
      </c>
      <c r="D18" s="3">
        <v>1.71E10</v>
      </c>
      <c r="E18" s="2" t="s">
        <v>90</v>
      </c>
      <c r="F18" s="4" t="s">
        <v>34</v>
      </c>
      <c r="G18" s="3">
        <f>VLOOKUP(B18,Raw_Data_Collection!$B$2:$J$215,6,FALSE)</f>
        <v>187000000</v>
      </c>
      <c r="H18" s="5" t="s">
        <v>91</v>
      </c>
      <c r="I18" s="4">
        <v>2021.0</v>
      </c>
      <c r="J18" s="18">
        <f>VLOOKUP(B18,Raw_Data_Collection!$B$2:$J$215,9,FALSE)</f>
        <v>400000000</v>
      </c>
      <c r="K18" s="18">
        <f>VLOOKUP(B18,Real_Estate_Stats_Preferred!$A$2:$G$215,7,FALSE)</f>
        <v>400000000</v>
      </c>
      <c r="L18" s="18">
        <f t="shared" si="1"/>
        <v>16700000000</v>
      </c>
      <c r="M18" s="4">
        <v>0.37</v>
      </c>
      <c r="N18" s="4">
        <v>0.05</v>
      </c>
      <c r="O18" s="29">
        <f t="shared" si="2"/>
        <v>835000000</v>
      </c>
      <c r="P18" s="29">
        <f t="shared" si="3"/>
        <v>1325396825</v>
      </c>
      <c r="Q18" s="29">
        <f t="shared" si="4"/>
        <v>490396825.4</v>
      </c>
      <c r="R18" s="4">
        <v>0.075</v>
      </c>
      <c r="S18" s="29">
        <f t="shared" si="5"/>
        <v>960250000</v>
      </c>
      <c r="T18" s="29">
        <f t="shared" si="6"/>
        <v>1524206349</v>
      </c>
      <c r="U18" s="29">
        <f t="shared" si="7"/>
        <v>563956349.2</v>
      </c>
      <c r="V18" s="4">
        <v>2021.0</v>
      </c>
      <c r="W18" s="6" t="s">
        <v>92</v>
      </c>
      <c r="X18" s="4" t="s">
        <v>93</v>
      </c>
      <c r="Y18" s="5" t="s">
        <v>94</v>
      </c>
    </row>
    <row r="19" ht="14.25" customHeight="1">
      <c r="A19" s="4">
        <v>17.0</v>
      </c>
      <c r="B19" s="2" t="s">
        <v>95</v>
      </c>
      <c r="C19" s="2" t="s">
        <v>96</v>
      </c>
      <c r="D19" s="3">
        <v>1.59E10</v>
      </c>
      <c r="E19" s="2" t="s">
        <v>90</v>
      </c>
      <c r="F19" s="4" t="str">
        <f>VLOOKUP(B19,Raw_Data_Collection!$B$2:$F$215,5,FALSE)</f>
        <v>N</v>
      </c>
      <c r="G19" s="3">
        <f>VLOOKUP(B19,Raw_Data_Collection!$B$2:$J$215,6,FALSE)</f>
        <v>29084160</v>
      </c>
      <c r="H19" s="5" t="s">
        <v>97</v>
      </c>
      <c r="I19" s="4">
        <v>2020.0</v>
      </c>
      <c r="J19" s="2" t="str">
        <f>VLOOKUP(B19,Raw_Data_Collection!$B$2:$J$215,9,FALSE)</f>
        <v/>
      </c>
      <c r="K19" s="18">
        <f>VLOOKUP(B19,Real_Estate_Stats_Preferred!$A$2:$G$215,7,FALSE)</f>
        <v>29084160</v>
      </c>
      <c r="L19" s="18">
        <f t="shared" si="1"/>
        <v>15870915840</v>
      </c>
      <c r="M19" s="4">
        <v>0.37</v>
      </c>
      <c r="N19" s="4">
        <v>0.05</v>
      </c>
      <c r="O19" s="29">
        <f t="shared" si="2"/>
        <v>793545792</v>
      </c>
      <c r="P19" s="29">
        <f t="shared" si="3"/>
        <v>1259596495</v>
      </c>
      <c r="Q19" s="29">
        <f t="shared" si="4"/>
        <v>466050703.2</v>
      </c>
      <c r="R19" s="4">
        <v>0.075</v>
      </c>
      <c r="S19" s="29">
        <f t="shared" si="5"/>
        <v>912577660.8</v>
      </c>
      <c r="T19" s="29">
        <f t="shared" si="6"/>
        <v>1448535970</v>
      </c>
      <c r="U19" s="29">
        <f t="shared" si="7"/>
        <v>535958308.7</v>
      </c>
      <c r="V19" s="4"/>
      <c r="W19" s="4"/>
    </row>
    <row r="20" ht="14.25" customHeight="1">
      <c r="A20" s="4">
        <v>18.0</v>
      </c>
      <c r="B20" s="2" t="s">
        <v>98</v>
      </c>
      <c r="C20" s="2" t="s">
        <v>99</v>
      </c>
      <c r="D20" s="3">
        <v>1.4E10</v>
      </c>
      <c r="E20" s="2" t="s">
        <v>100</v>
      </c>
      <c r="F20" s="4" t="str">
        <f>VLOOKUP(B20,Raw_Data_Collection!$B$2:$F$215,5,FALSE)</f>
        <v>N</v>
      </c>
      <c r="G20" s="3">
        <f>VLOOKUP(B20,Raw_Data_Collection!$B$2:$J$215,6,FALSE)</f>
        <v>70000000</v>
      </c>
      <c r="H20" s="5" t="s">
        <v>101</v>
      </c>
      <c r="I20" s="4">
        <v>2024.0</v>
      </c>
      <c r="J20" s="18">
        <f>VLOOKUP(B20,Raw_Data_Collection!$B$2:$J$215,9,FALSE)</f>
        <v>242000000</v>
      </c>
      <c r="K20" s="18">
        <f>VLOOKUP(B20,Real_Estate_Stats_Preferred!$A$2:$G$215,7,FALSE)</f>
        <v>242000000</v>
      </c>
      <c r="L20" s="18">
        <f t="shared" si="1"/>
        <v>13758000000</v>
      </c>
      <c r="M20" s="4">
        <v>0.37</v>
      </c>
      <c r="N20" s="4">
        <v>0.05</v>
      </c>
      <c r="O20" s="29">
        <f t="shared" si="2"/>
        <v>687900000</v>
      </c>
      <c r="P20" s="29">
        <f t="shared" si="3"/>
        <v>1091904762</v>
      </c>
      <c r="Q20" s="29">
        <f t="shared" si="4"/>
        <v>404004761.9</v>
      </c>
      <c r="R20" s="4">
        <v>0.075</v>
      </c>
      <c r="S20" s="29">
        <f t="shared" si="5"/>
        <v>791085000</v>
      </c>
      <c r="T20" s="29">
        <f t="shared" si="6"/>
        <v>1255690476</v>
      </c>
      <c r="U20" s="29">
        <f t="shared" si="7"/>
        <v>464605476.2</v>
      </c>
      <c r="V20" s="4" t="s">
        <v>102</v>
      </c>
      <c r="W20" s="8" t="s">
        <v>103</v>
      </c>
    </row>
    <row r="21" ht="14.25" customHeight="1">
      <c r="A21" s="4">
        <v>19.0</v>
      </c>
      <c r="B21" s="2" t="s">
        <v>104</v>
      </c>
      <c r="C21" s="2" t="s">
        <v>105</v>
      </c>
      <c r="D21" s="3">
        <v>1.38E10</v>
      </c>
      <c r="E21" s="2" t="s">
        <v>106</v>
      </c>
      <c r="F21" s="4" t="str">
        <f>VLOOKUP(B21,Raw_Data_Collection!$B$2:$F$215,5,FALSE)</f>
        <v>N</v>
      </c>
      <c r="G21" s="3" t="str">
        <f>VLOOKUP(B21,Raw_Data_Collection!$B$2:$J$215,6,FALSE)</f>
        <v/>
      </c>
      <c r="J21" s="2" t="str">
        <f>VLOOKUP(B21,Raw_Data_Collection!$B$2:$J$215,9,FALSE)</f>
        <v/>
      </c>
      <c r="K21" s="18">
        <f>VLOOKUP(B21,Real_Estate_Stats_Preferred!$A$2:$G$215,7,FALSE)</f>
        <v>87772928.57</v>
      </c>
      <c r="L21" s="18">
        <f t="shared" si="1"/>
        <v>13712227071</v>
      </c>
      <c r="M21" s="4">
        <v>0.37</v>
      </c>
      <c r="N21" s="4">
        <v>0.05</v>
      </c>
      <c r="O21" s="29">
        <f t="shared" si="2"/>
        <v>685611353.6</v>
      </c>
      <c r="P21" s="29">
        <f t="shared" si="3"/>
        <v>1088271990</v>
      </c>
      <c r="Q21" s="29">
        <f t="shared" si="4"/>
        <v>402660636.2</v>
      </c>
      <c r="R21" s="4">
        <v>0.075</v>
      </c>
      <c r="S21" s="29">
        <f t="shared" si="5"/>
        <v>788453056.6</v>
      </c>
      <c r="T21" s="29">
        <f t="shared" si="6"/>
        <v>1251512788</v>
      </c>
      <c r="U21" s="29">
        <f t="shared" si="7"/>
        <v>463059731.7</v>
      </c>
    </row>
    <row r="22" ht="14.25" customHeight="1">
      <c r="A22" s="4">
        <v>20.0</v>
      </c>
      <c r="B22" s="2" t="s">
        <v>107</v>
      </c>
      <c r="C22" s="2" t="s">
        <v>108</v>
      </c>
      <c r="D22" s="3">
        <v>1.31E10</v>
      </c>
      <c r="E22" s="4" t="s">
        <v>47</v>
      </c>
      <c r="F22" s="4" t="str">
        <f>VLOOKUP(B22,Raw_Data_Collection!$B$2:$F$215,5,FALSE)</f>
        <v>N</v>
      </c>
      <c r="G22" s="3">
        <f>VLOOKUP(B22,Raw_Data_Collection!$B$2:$J$215,6,FALSE)</f>
        <v>60000000</v>
      </c>
      <c r="H22" s="5" t="s">
        <v>109</v>
      </c>
      <c r="I22" s="4">
        <v>2025.0</v>
      </c>
      <c r="J22" s="18">
        <f>VLOOKUP(B22,Raw_Data_Collection!$B$2:$J$215,9,FALSE)</f>
        <v>100000000</v>
      </c>
      <c r="K22" s="18">
        <f>VLOOKUP(B22,Real_Estate_Stats_Preferred!$A$2:$G$215,7,FALSE)</f>
        <v>100000000</v>
      </c>
      <c r="L22" s="18">
        <f t="shared" si="1"/>
        <v>13000000000</v>
      </c>
      <c r="M22" s="4">
        <v>0.37</v>
      </c>
      <c r="N22" s="4">
        <v>0.05</v>
      </c>
      <c r="O22" s="29">
        <f t="shared" si="2"/>
        <v>650000000</v>
      </c>
      <c r="P22" s="29">
        <f t="shared" si="3"/>
        <v>1031746032</v>
      </c>
      <c r="Q22" s="29">
        <f t="shared" si="4"/>
        <v>381746031.7</v>
      </c>
      <c r="R22" s="4">
        <v>0.075</v>
      </c>
      <c r="S22" s="29">
        <f t="shared" si="5"/>
        <v>747500000</v>
      </c>
      <c r="T22" s="29">
        <f t="shared" si="6"/>
        <v>1186507937</v>
      </c>
      <c r="U22" s="29">
        <f t="shared" si="7"/>
        <v>439007936.5</v>
      </c>
      <c r="V22" s="4">
        <v>2025.0</v>
      </c>
      <c r="W22" s="5" t="s">
        <v>109</v>
      </c>
      <c r="X22" s="4" t="s">
        <v>110</v>
      </c>
    </row>
    <row r="23" ht="14.25" customHeight="1">
      <c r="A23" s="4">
        <v>21.0</v>
      </c>
      <c r="B23" s="2" t="s">
        <v>111</v>
      </c>
      <c r="C23" s="2" t="s">
        <v>112</v>
      </c>
      <c r="D23" s="3">
        <v>1.25E10</v>
      </c>
      <c r="E23" s="2" t="s">
        <v>113</v>
      </c>
      <c r="F23" s="4" t="str">
        <f>VLOOKUP(B23,Raw_Data_Collection!$B$2:$F$215,5,FALSE)</f>
        <v>N</v>
      </c>
      <c r="G23" s="3">
        <f>VLOOKUP(B23,Raw_Data_Collection!$B$2:$J$215,6,FALSE)</f>
        <v>17100579</v>
      </c>
      <c r="J23" s="18">
        <f>VLOOKUP(B23,Raw_Data_Collection!$B$2:$J$215,9,FALSE)</f>
        <v>17100579</v>
      </c>
      <c r="K23" s="18">
        <f>VLOOKUP(B23,Real_Estate_Stats_Preferred!$A$2:$G$215,7,FALSE)</f>
        <v>79504464.29</v>
      </c>
      <c r="L23" s="18">
        <f t="shared" si="1"/>
        <v>12420495536</v>
      </c>
      <c r="M23" s="4">
        <v>0.37</v>
      </c>
      <c r="N23" s="4">
        <v>0.05</v>
      </c>
      <c r="O23" s="29">
        <f t="shared" si="2"/>
        <v>621024776.8</v>
      </c>
      <c r="P23" s="29">
        <f t="shared" si="3"/>
        <v>985753613.9</v>
      </c>
      <c r="Q23" s="29">
        <f t="shared" si="4"/>
        <v>364728837.2</v>
      </c>
      <c r="R23" s="4">
        <v>0.075</v>
      </c>
      <c r="S23" s="29">
        <f t="shared" si="5"/>
        <v>714178493.3</v>
      </c>
      <c r="T23" s="29">
        <f t="shared" si="6"/>
        <v>1133616656</v>
      </c>
      <c r="U23" s="29">
        <f t="shared" si="7"/>
        <v>419438162.7</v>
      </c>
    </row>
    <row r="24" ht="14.25" customHeight="1">
      <c r="A24" s="4">
        <v>22.0</v>
      </c>
      <c r="B24" s="2" t="s">
        <v>116</v>
      </c>
      <c r="C24" s="2" t="s">
        <v>117</v>
      </c>
      <c r="D24" s="3">
        <v>1.16E10</v>
      </c>
      <c r="E24" s="4" t="s">
        <v>24</v>
      </c>
      <c r="F24" s="4" t="str">
        <f>VLOOKUP(B24,Raw_Data_Collection!$B$2:$F$215,5,FALSE)</f>
        <v>N</v>
      </c>
      <c r="G24" s="3">
        <f>VLOOKUP(B24,Raw_Data_Collection!$B$2:$J$215,6,FALSE)</f>
        <v>63300000</v>
      </c>
      <c r="H24" s="5" t="s">
        <v>118</v>
      </c>
      <c r="I24" s="4">
        <v>2020.0</v>
      </c>
      <c r="J24" s="18">
        <f>VLOOKUP(B24,Raw_Data_Collection!$B$2:$J$215,9,FALSE)</f>
        <v>86100000</v>
      </c>
      <c r="K24" s="18">
        <f>VLOOKUP(B24,Real_Estate_Stats_Preferred!$A$2:$G$215,7,FALSE)</f>
        <v>86100000</v>
      </c>
      <c r="L24" s="18">
        <f t="shared" si="1"/>
        <v>11513900000</v>
      </c>
      <c r="M24" s="4">
        <v>0.37</v>
      </c>
      <c r="N24" s="4">
        <v>0.05</v>
      </c>
      <c r="O24" s="29">
        <f t="shared" si="2"/>
        <v>575695000</v>
      </c>
      <c r="P24" s="29">
        <f t="shared" si="3"/>
        <v>913801587.3</v>
      </c>
      <c r="Q24" s="29">
        <f t="shared" si="4"/>
        <v>338106587.3</v>
      </c>
      <c r="R24" s="4">
        <v>0.075</v>
      </c>
      <c r="S24" s="29">
        <f t="shared" si="5"/>
        <v>662049250</v>
      </c>
      <c r="T24" s="29">
        <f t="shared" si="6"/>
        <v>1050871825</v>
      </c>
      <c r="U24" s="29">
        <f t="shared" si="7"/>
        <v>388822575.4</v>
      </c>
      <c r="V24" s="4" t="s">
        <v>119</v>
      </c>
      <c r="W24" s="6" t="s">
        <v>118</v>
      </c>
    </row>
    <row r="25" ht="14.25" customHeight="1">
      <c r="A25" s="4">
        <v>23.0</v>
      </c>
      <c r="B25" s="2" t="s">
        <v>120</v>
      </c>
      <c r="C25" s="2" t="s">
        <v>121</v>
      </c>
      <c r="D25" s="3">
        <v>1.12E10</v>
      </c>
      <c r="E25" s="2" t="s">
        <v>100</v>
      </c>
      <c r="F25" s="4" t="str">
        <f>VLOOKUP(B25,Raw_Data_Collection!$B$2:$F$215,5,FALSE)</f>
        <v>N</v>
      </c>
      <c r="G25" s="3">
        <f>VLOOKUP(B25,Raw_Data_Collection!$B$2:$J$215,6,FALSE)</f>
        <v>800000</v>
      </c>
      <c r="H25" s="5" t="s">
        <v>122</v>
      </c>
      <c r="I25" s="4">
        <v>2011.0</v>
      </c>
      <c r="J25" s="2" t="str">
        <f>VLOOKUP(B25,Raw_Data_Collection!$B$2:$J$215,9,FALSE)</f>
        <v/>
      </c>
      <c r="K25" s="18">
        <f>VLOOKUP(B25,Real_Estate_Stats_Preferred!$A$2:$G$215,7,FALSE)</f>
        <v>800000</v>
      </c>
      <c r="L25" s="18">
        <f t="shared" si="1"/>
        <v>11199200000</v>
      </c>
      <c r="M25" s="4">
        <v>0.37</v>
      </c>
      <c r="N25" s="4">
        <v>0.05</v>
      </c>
      <c r="O25" s="29">
        <f t="shared" si="2"/>
        <v>559960000</v>
      </c>
      <c r="P25" s="29">
        <f t="shared" si="3"/>
        <v>888825396.8</v>
      </c>
      <c r="Q25" s="29">
        <f t="shared" si="4"/>
        <v>328865396.8</v>
      </c>
      <c r="R25" s="4">
        <v>0.075</v>
      </c>
      <c r="S25" s="29">
        <f t="shared" si="5"/>
        <v>643954000</v>
      </c>
      <c r="T25" s="29">
        <f t="shared" si="6"/>
        <v>1022149206</v>
      </c>
      <c r="U25" s="29">
        <f t="shared" si="7"/>
        <v>378195206.3</v>
      </c>
      <c r="V25" s="4"/>
      <c r="W25" s="4"/>
      <c r="X25" s="4" t="s">
        <v>123</v>
      </c>
    </row>
    <row r="26" ht="14.25" customHeight="1">
      <c r="A26" s="4">
        <v>24.0</v>
      </c>
      <c r="B26" s="2" t="s">
        <v>124</v>
      </c>
      <c r="C26" s="2" t="s">
        <v>125</v>
      </c>
      <c r="D26" s="3">
        <v>1.07E10</v>
      </c>
      <c r="E26" s="4" t="s">
        <v>126</v>
      </c>
      <c r="F26" s="4" t="str">
        <f>VLOOKUP(B26,Raw_Data_Collection!$B$2:$F$215,5,FALSE)</f>
        <v>N</v>
      </c>
      <c r="G26" s="3">
        <f>VLOOKUP(B26,Raw_Data_Collection!$B$2:$J$215,6,FALSE)</f>
        <v>10000000</v>
      </c>
      <c r="H26" s="5" t="s">
        <v>127</v>
      </c>
      <c r="I26" s="4">
        <v>2026.0</v>
      </c>
      <c r="J26" s="18">
        <f>VLOOKUP(B26,Raw_Data_Collection!$B$2:$J$215,9,FALSE)</f>
        <v>80000000</v>
      </c>
      <c r="K26" s="18">
        <f>VLOOKUP(B26,Real_Estate_Stats_Preferred!$A$2:$G$215,7,FALSE)</f>
        <v>80000000</v>
      </c>
      <c r="L26" s="18">
        <f t="shared" si="1"/>
        <v>10620000000</v>
      </c>
      <c r="M26" s="4">
        <v>0.37</v>
      </c>
      <c r="N26" s="4">
        <v>0.05</v>
      </c>
      <c r="O26" s="29">
        <f t="shared" si="2"/>
        <v>531000000</v>
      </c>
      <c r="P26" s="29">
        <f t="shared" si="3"/>
        <v>842857142.9</v>
      </c>
      <c r="Q26" s="29">
        <f t="shared" si="4"/>
        <v>311857142.9</v>
      </c>
      <c r="R26" s="4">
        <v>0.075</v>
      </c>
      <c r="S26" s="29">
        <f t="shared" si="5"/>
        <v>610650000</v>
      </c>
      <c r="T26" s="29">
        <f t="shared" si="6"/>
        <v>969285714.3</v>
      </c>
      <c r="U26" s="29">
        <f t="shared" si="7"/>
        <v>358635714.3</v>
      </c>
      <c r="V26" s="4" t="s">
        <v>128</v>
      </c>
      <c r="W26" s="5" t="s">
        <v>127</v>
      </c>
    </row>
    <row r="27" ht="14.25" customHeight="1">
      <c r="A27" s="4">
        <v>25.0</v>
      </c>
      <c r="B27" s="2" t="s">
        <v>129</v>
      </c>
      <c r="C27" s="2" t="s">
        <v>130</v>
      </c>
      <c r="D27" s="3">
        <v>1.02E10</v>
      </c>
      <c r="E27" s="2" t="s">
        <v>100</v>
      </c>
      <c r="F27" s="4" t="str">
        <f>VLOOKUP(B27,Raw_Data_Collection!$B$2:$F$215,5,FALSE)</f>
        <v>N</v>
      </c>
      <c r="G27" s="3">
        <f>VLOOKUP(B27,Raw_Data_Collection!$B$2:$J$215,6,FALSE)</f>
        <v>13500000</v>
      </c>
      <c r="H27" s="5" t="s">
        <v>131</v>
      </c>
      <c r="I27" s="4">
        <v>2025.0</v>
      </c>
      <c r="J27" s="18">
        <f>VLOOKUP(B27,Raw_Data_Collection!$B$2:$J$215,9,FALSE)</f>
        <v>13500000</v>
      </c>
      <c r="K27" s="18">
        <f>VLOOKUP(B27,Real_Estate_Stats_Preferred!$A$2:$G$215,7,FALSE)</f>
        <v>13500000</v>
      </c>
      <c r="L27" s="18">
        <f t="shared" si="1"/>
        <v>10186500000</v>
      </c>
      <c r="M27" s="4">
        <v>0.37</v>
      </c>
      <c r="N27" s="4">
        <v>0.05</v>
      </c>
      <c r="O27" s="29">
        <f t="shared" si="2"/>
        <v>509325000</v>
      </c>
      <c r="P27" s="29">
        <f t="shared" si="3"/>
        <v>808452381</v>
      </c>
      <c r="Q27" s="29">
        <f t="shared" si="4"/>
        <v>299127381</v>
      </c>
      <c r="R27" s="4">
        <v>0.075</v>
      </c>
      <c r="S27" s="29">
        <f t="shared" si="5"/>
        <v>585723750</v>
      </c>
      <c r="T27" s="29">
        <f t="shared" si="6"/>
        <v>929720238.1</v>
      </c>
      <c r="U27" s="29">
        <f t="shared" si="7"/>
        <v>343996488.1</v>
      </c>
      <c r="V27" s="4">
        <v>2025.0</v>
      </c>
      <c r="W27" s="6" t="s">
        <v>132</v>
      </c>
    </row>
    <row r="28" ht="14.25" customHeight="1">
      <c r="A28" s="4">
        <v>26.0</v>
      </c>
      <c r="B28" s="2" t="s">
        <v>133</v>
      </c>
      <c r="C28" s="2" t="s">
        <v>134</v>
      </c>
      <c r="D28" s="3">
        <v>1.01E10</v>
      </c>
      <c r="E28" s="4" t="s">
        <v>47</v>
      </c>
      <c r="F28" s="4" t="str">
        <f>VLOOKUP(B28,Raw_Data_Collection!$B$2:$F$215,5,FALSE)</f>
        <v>N</v>
      </c>
      <c r="G28" s="3">
        <f>VLOOKUP(B28,Raw_Data_Collection!$B$2:$J$215,6,FALSE)</f>
        <v>133000000</v>
      </c>
      <c r="H28" s="5" t="s">
        <v>135</v>
      </c>
      <c r="I28" s="4">
        <v>2022.0</v>
      </c>
      <c r="J28" s="18">
        <f>VLOOKUP(B28,Raw_Data_Collection!$B$2:$J$215,9,FALSE)</f>
        <v>133000000</v>
      </c>
      <c r="K28" s="18">
        <f>VLOOKUP(B28,Real_Estate_Stats_Preferred!$A$2:$G$215,7,FALSE)</f>
        <v>133000000</v>
      </c>
      <c r="L28" s="18">
        <f t="shared" si="1"/>
        <v>9967000000</v>
      </c>
      <c r="M28" s="4">
        <v>0.37</v>
      </c>
      <c r="N28" s="4">
        <v>0.05</v>
      </c>
      <c r="O28" s="29">
        <f t="shared" si="2"/>
        <v>498350000</v>
      </c>
      <c r="P28" s="29">
        <f t="shared" si="3"/>
        <v>791031746</v>
      </c>
      <c r="Q28" s="29">
        <f t="shared" si="4"/>
        <v>292681746</v>
      </c>
      <c r="R28" s="4">
        <v>0.075</v>
      </c>
      <c r="S28" s="29">
        <f t="shared" si="5"/>
        <v>573102500</v>
      </c>
      <c r="T28" s="29">
        <f t="shared" si="6"/>
        <v>909686507.9</v>
      </c>
      <c r="U28" s="29">
        <f t="shared" si="7"/>
        <v>336584007.9</v>
      </c>
      <c r="V28" s="4">
        <v>2022.0</v>
      </c>
      <c r="W28" s="5" t="s">
        <v>135</v>
      </c>
    </row>
    <row r="29" ht="14.25" customHeight="1">
      <c r="A29" s="4">
        <v>27.0</v>
      </c>
      <c r="B29" s="2" t="s">
        <v>136</v>
      </c>
      <c r="C29" s="2" t="s">
        <v>137</v>
      </c>
      <c r="D29" s="3">
        <v>1.0E10</v>
      </c>
      <c r="E29" s="2" t="s">
        <v>47</v>
      </c>
      <c r="F29" s="4" t="str">
        <f>VLOOKUP(B29,Raw_Data_Collection!$B$2:$F$215,5,FALSE)</f>
        <v>N</v>
      </c>
      <c r="G29" s="3" t="str">
        <f>VLOOKUP(B29,Raw_Data_Collection!$B$2:$J$215,6,FALSE)</f>
        <v/>
      </c>
      <c r="J29" s="2" t="str">
        <f>VLOOKUP(B29,Raw_Data_Collection!$B$2:$J$215,9,FALSE)</f>
        <v/>
      </c>
      <c r="K29" s="18">
        <f>VLOOKUP(B29,Real_Estate_Stats_Preferred!$A$2:$G$215,7,FALSE)</f>
        <v>63603571.43</v>
      </c>
      <c r="L29" s="18">
        <f t="shared" si="1"/>
        <v>9936396429</v>
      </c>
      <c r="M29" s="4">
        <v>0.37</v>
      </c>
      <c r="N29" s="4">
        <v>0.05</v>
      </c>
      <c r="O29" s="29">
        <f t="shared" si="2"/>
        <v>496819821.4</v>
      </c>
      <c r="P29" s="29">
        <f t="shared" si="3"/>
        <v>788602891.2</v>
      </c>
      <c r="Q29" s="29">
        <f t="shared" si="4"/>
        <v>291783069.7</v>
      </c>
      <c r="R29" s="4">
        <v>0.075</v>
      </c>
      <c r="S29" s="29">
        <f t="shared" si="5"/>
        <v>571342794.6</v>
      </c>
      <c r="T29" s="29">
        <f t="shared" si="6"/>
        <v>906893324.8</v>
      </c>
      <c r="U29" s="29">
        <f t="shared" si="7"/>
        <v>335550530.2</v>
      </c>
    </row>
    <row r="30" ht="14.25" customHeight="1">
      <c r="A30" s="4">
        <v>28.0</v>
      </c>
      <c r="B30" s="2" t="s">
        <v>138</v>
      </c>
      <c r="C30" s="2" t="s">
        <v>137</v>
      </c>
      <c r="D30" s="3">
        <v>1.0E10</v>
      </c>
      <c r="E30" s="2" t="s">
        <v>80</v>
      </c>
      <c r="F30" s="4" t="str">
        <f>VLOOKUP(B30,Raw_Data_Collection!$B$2:$F$215,5,FALSE)</f>
        <v>N</v>
      </c>
      <c r="G30" s="3">
        <f>VLOOKUP(B30,Raw_Data_Collection!$B$2:$J$215,6,FALSE)</f>
        <v>100000000</v>
      </c>
      <c r="H30" s="5" t="s">
        <v>139</v>
      </c>
      <c r="I30" s="4">
        <v>2016.0</v>
      </c>
      <c r="J30" s="18">
        <f>VLOOKUP(B30,Raw_Data_Collection!$B$2:$J$215,9,FALSE)</f>
        <v>138000000</v>
      </c>
      <c r="K30" s="18">
        <f>VLOOKUP(B30,Real_Estate_Stats_Preferred!$A$2:$G$215,7,FALSE)</f>
        <v>138000000</v>
      </c>
      <c r="L30" s="18">
        <f t="shared" si="1"/>
        <v>9862000000</v>
      </c>
      <c r="M30" s="4">
        <v>0.37</v>
      </c>
      <c r="N30" s="4">
        <v>0.05</v>
      </c>
      <c r="O30" s="29">
        <f t="shared" si="2"/>
        <v>493100000</v>
      </c>
      <c r="P30" s="29">
        <f t="shared" si="3"/>
        <v>782698412.7</v>
      </c>
      <c r="Q30" s="29">
        <f t="shared" si="4"/>
        <v>289598412.7</v>
      </c>
      <c r="R30" s="4">
        <v>0.075</v>
      </c>
      <c r="S30" s="29">
        <f t="shared" si="5"/>
        <v>567065000</v>
      </c>
      <c r="T30" s="29">
        <f t="shared" si="6"/>
        <v>900103174.6</v>
      </c>
      <c r="U30" s="29">
        <f t="shared" si="7"/>
        <v>333038174.6</v>
      </c>
      <c r="V30" s="4" t="s">
        <v>140</v>
      </c>
      <c r="W30" s="4" t="s">
        <v>141</v>
      </c>
    </row>
    <row r="31" ht="14.25" customHeight="1">
      <c r="A31" s="4">
        <v>29.0</v>
      </c>
      <c r="B31" s="2" t="s">
        <v>142</v>
      </c>
      <c r="C31" s="2" t="s">
        <v>143</v>
      </c>
      <c r="D31" s="3">
        <v>9.8E9</v>
      </c>
      <c r="E31" s="4" t="s">
        <v>354</v>
      </c>
      <c r="F31" s="4" t="str">
        <f>VLOOKUP(B31,Raw_Data_Collection!$B$2:$F$215,5,FALSE)</f>
        <v>N</v>
      </c>
      <c r="G31" s="3" t="str">
        <f>VLOOKUP(B31,Raw_Data_Collection!$B$2:$J$215,6,FALSE)</f>
        <v/>
      </c>
      <c r="J31" s="2" t="str">
        <f>VLOOKUP(B31,Raw_Data_Collection!$B$2:$J$215,9,FALSE)</f>
        <v/>
      </c>
      <c r="K31" s="18">
        <f>VLOOKUP(B31,Real_Estate_Stats_Preferred!$A$2:$G$215,7,FALSE)</f>
        <v>62331500</v>
      </c>
      <c r="L31" s="18">
        <f t="shared" si="1"/>
        <v>9737668500</v>
      </c>
      <c r="M31" s="4">
        <v>0.37</v>
      </c>
      <c r="N31" s="4">
        <v>0.05</v>
      </c>
      <c r="O31" s="29">
        <f t="shared" si="2"/>
        <v>486883425</v>
      </c>
      <c r="P31" s="29">
        <f t="shared" si="3"/>
        <v>772830833.3</v>
      </c>
      <c r="Q31" s="29">
        <f t="shared" si="4"/>
        <v>285947408.3</v>
      </c>
      <c r="R31" s="4">
        <v>0.075</v>
      </c>
      <c r="S31" s="29">
        <f t="shared" si="5"/>
        <v>559915938.8</v>
      </c>
      <c r="T31" s="29">
        <f t="shared" si="6"/>
        <v>888755458.3</v>
      </c>
      <c r="U31" s="29">
        <f t="shared" si="7"/>
        <v>328839519.6</v>
      </c>
    </row>
    <row r="32" ht="14.25" customHeight="1">
      <c r="A32" s="4">
        <v>30.0</v>
      </c>
      <c r="B32" s="2" t="s">
        <v>144</v>
      </c>
      <c r="C32" s="2" t="s">
        <v>145</v>
      </c>
      <c r="D32" s="3">
        <v>9.6E9</v>
      </c>
      <c r="E32" s="2" t="s">
        <v>100</v>
      </c>
      <c r="F32" s="4" t="str">
        <f>VLOOKUP(B32,Raw_Data_Collection!$B$2:$F$215,5,FALSE)</f>
        <v>N</v>
      </c>
      <c r="G32" s="3" t="str">
        <f>VLOOKUP(B32,Raw_Data_Collection!$B$2:$J$215,6,FALSE)</f>
        <v/>
      </c>
      <c r="J32" s="2" t="str">
        <f>VLOOKUP(B32,Raw_Data_Collection!$B$2:$J$215,9,FALSE)</f>
        <v/>
      </c>
      <c r="K32" s="18">
        <f>VLOOKUP(B32,Real_Estate_Stats_Preferred!$A$2:$G$215,7,FALSE)</f>
        <v>61059428.57</v>
      </c>
      <c r="L32" s="18">
        <f t="shared" si="1"/>
        <v>9538940571</v>
      </c>
      <c r="M32" s="4">
        <v>0.37</v>
      </c>
      <c r="N32" s="4">
        <v>0.05</v>
      </c>
      <c r="O32" s="29">
        <f t="shared" si="2"/>
        <v>476947028.6</v>
      </c>
      <c r="P32" s="29">
        <f t="shared" si="3"/>
        <v>757058775.5</v>
      </c>
      <c r="Q32" s="29">
        <f t="shared" si="4"/>
        <v>280111746.9</v>
      </c>
      <c r="R32" s="4">
        <v>0.075</v>
      </c>
      <c r="S32" s="29">
        <f t="shared" si="5"/>
        <v>548489082.9</v>
      </c>
      <c r="T32" s="29">
        <f t="shared" si="6"/>
        <v>870617591.8</v>
      </c>
      <c r="U32" s="29">
        <f t="shared" si="7"/>
        <v>322128509</v>
      </c>
      <c r="Y32" s="5" t="s">
        <v>146</v>
      </c>
    </row>
    <row r="33" ht="14.25" customHeight="1">
      <c r="A33" s="4">
        <v>31.0</v>
      </c>
      <c r="B33" s="2" t="s">
        <v>147</v>
      </c>
      <c r="C33" s="2" t="s">
        <v>148</v>
      </c>
      <c r="D33" s="3">
        <v>9.3E9</v>
      </c>
      <c r="E33" s="2" t="s">
        <v>100</v>
      </c>
      <c r="F33" s="4" t="str">
        <f>VLOOKUP(B33,Raw_Data_Collection!$B$2:$F$215,5,FALSE)</f>
        <v>N</v>
      </c>
      <c r="G33" s="3">
        <f>VLOOKUP(B33,Raw_Data_Collection!$B$2:$J$215,6,FALSE)</f>
        <v>18000000</v>
      </c>
      <c r="H33" s="5" t="s">
        <v>149</v>
      </c>
      <c r="I33" s="4">
        <v>2009.0</v>
      </c>
      <c r="J33" s="2" t="str">
        <f>VLOOKUP(B33,Raw_Data_Collection!$B$2:$J$215,9,FALSE)</f>
        <v/>
      </c>
      <c r="K33" s="18">
        <f>VLOOKUP(B33,Real_Estate_Stats_Preferred!$A$2:$G$215,7,FALSE)</f>
        <v>18000000</v>
      </c>
      <c r="L33" s="18">
        <f t="shared" si="1"/>
        <v>9282000000</v>
      </c>
      <c r="M33" s="4">
        <v>0.37</v>
      </c>
      <c r="N33" s="4">
        <v>0.05</v>
      </c>
      <c r="O33" s="29">
        <f t="shared" si="2"/>
        <v>464100000</v>
      </c>
      <c r="P33" s="29">
        <f t="shared" si="3"/>
        <v>736666666.7</v>
      </c>
      <c r="Q33" s="29">
        <f t="shared" si="4"/>
        <v>272566666.7</v>
      </c>
      <c r="R33" s="4">
        <v>0.075</v>
      </c>
      <c r="S33" s="29">
        <f t="shared" si="5"/>
        <v>533715000</v>
      </c>
      <c r="T33" s="29">
        <f t="shared" si="6"/>
        <v>847166666.7</v>
      </c>
      <c r="U33" s="29">
        <f t="shared" si="7"/>
        <v>313451666.7</v>
      </c>
      <c r="V33" s="4"/>
      <c r="W33" s="4"/>
    </row>
    <row r="34" ht="14.25" customHeight="1">
      <c r="A34" s="4">
        <v>32.0</v>
      </c>
      <c r="B34" s="2" t="s">
        <v>150</v>
      </c>
      <c r="C34" s="2" t="s">
        <v>151</v>
      </c>
      <c r="D34" s="3">
        <v>9.2E9</v>
      </c>
      <c r="E34" s="2" t="s">
        <v>80</v>
      </c>
      <c r="F34" s="4" t="str">
        <f>VLOOKUP(B34,Raw_Data_Collection!$B$2:$F$215,5,FALSE)</f>
        <v>N</v>
      </c>
      <c r="G34" s="3">
        <f>VLOOKUP(B34,Raw_Data_Collection!$B$2:$J$215,6,FALSE)</f>
        <v>68000000</v>
      </c>
      <c r="H34" s="5" t="s">
        <v>152</v>
      </c>
      <c r="I34" s="4">
        <v>2020.0</v>
      </c>
      <c r="J34" s="18">
        <f>VLOOKUP(B34,Raw_Data_Collection!$B$2:$J$215,9,FALSE)</f>
        <v>132000000</v>
      </c>
      <c r="K34" s="18">
        <f>VLOOKUP(B34,Real_Estate_Stats_Preferred!$A$2:$G$215,7,FALSE)</f>
        <v>132000000</v>
      </c>
      <c r="L34" s="18">
        <f t="shared" si="1"/>
        <v>9068000000</v>
      </c>
      <c r="M34" s="4">
        <v>0.37</v>
      </c>
      <c r="N34" s="4">
        <v>0.05</v>
      </c>
      <c r="O34" s="29">
        <f t="shared" si="2"/>
        <v>453400000</v>
      </c>
      <c r="P34" s="29">
        <f t="shared" si="3"/>
        <v>719682539.7</v>
      </c>
      <c r="Q34" s="29">
        <f t="shared" si="4"/>
        <v>266282539.7</v>
      </c>
      <c r="R34" s="4">
        <v>0.075</v>
      </c>
      <c r="S34" s="29">
        <f t="shared" si="5"/>
        <v>521410000</v>
      </c>
      <c r="T34" s="29">
        <f t="shared" si="6"/>
        <v>827634920.6</v>
      </c>
      <c r="U34" s="29">
        <f t="shared" si="7"/>
        <v>306224920.6</v>
      </c>
      <c r="V34" s="4" t="s">
        <v>153</v>
      </c>
      <c r="W34" s="10" t="s">
        <v>781</v>
      </c>
    </row>
    <row r="35" ht="14.25" customHeight="1">
      <c r="A35" s="4">
        <v>33.0</v>
      </c>
      <c r="B35" s="2" t="s">
        <v>155</v>
      </c>
      <c r="C35" s="2" t="s">
        <v>156</v>
      </c>
      <c r="D35" s="3">
        <v>9.1E9</v>
      </c>
      <c r="E35" s="2" t="s">
        <v>100</v>
      </c>
      <c r="F35" s="4" t="str">
        <f>VLOOKUP(B35,Raw_Data_Collection!$B$2:$F$215,5,FALSE)</f>
        <v>N</v>
      </c>
      <c r="G35" s="3" t="str">
        <f>VLOOKUP(B35,Raw_Data_Collection!$B$2:$J$215,6,FALSE)</f>
        <v/>
      </c>
      <c r="J35" s="2" t="str">
        <f>VLOOKUP(B35,Raw_Data_Collection!$B$2:$J$215,9,FALSE)</f>
        <v/>
      </c>
      <c r="K35" s="18">
        <f>VLOOKUP(B35,Real_Estate_Stats_Preferred!$A$2:$G$215,7,FALSE)</f>
        <v>57879250</v>
      </c>
      <c r="L35" s="18">
        <f t="shared" si="1"/>
        <v>9042120750</v>
      </c>
      <c r="M35" s="4">
        <v>0.37</v>
      </c>
      <c r="N35" s="4">
        <v>0.05</v>
      </c>
      <c r="O35" s="29">
        <f t="shared" si="2"/>
        <v>452106037.5</v>
      </c>
      <c r="P35" s="29">
        <f t="shared" si="3"/>
        <v>717628631</v>
      </c>
      <c r="Q35" s="29">
        <f t="shared" si="4"/>
        <v>265522593.5</v>
      </c>
      <c r="R35" s="4">
        <v>0.075</v>
      </c>
      <c r="S35" s="29">
        <f t="shared" si="5"/>
        <v>519921943.1</v>
      </c>
      <c r="T35" s="29">
        <f t="shared" si="6"/>
        <v>825272925.6</v>
      </c>
      <c r="U35" s="29">
        <f t="shared" si="7"/>
        <v>305350982.5</v>
      </c>
    </row>
    <row r="36" ht="14.25" customHeight="1">
      <c r="A36" s="4">
        <v>34.0</v>
      </c>
      <c r="B36" s="2" t="s">
        <v>162</v>
      </c>
      <c r="C36" s="2" t="s">
        <v>158</v>
      </c>
      <c r="D36" s="3">
        <v>8.6E9</v>
      </c>
      <c r="E36" s="2" t="s">
        <v>163</v>
      </c>
      <c r="F36" s="4" t="str">
        <f>VLOOKUP(B36,Raw_Data_Collection!$B$2:$F$215,5,FALSE)</f>
        <v>N</v>
      </c>
      <c r="G36" s="3" t="str">
        <f>VLOOKUP(B36,Raw_Data_Collection!$B$2:$J$215,6,FALSE)</f>
        <v/>
      </c>
      <c r="J36" s="2" t="str">
        <f>VLOOKUP(B36,Raw_Data_Collection!$B$2:$J$215,9,FALSE)</f>
        <v/>
      </c>
      <c r="K36" s="18">
        <f>VLOOKUP(B36,Real_Estate_Stats_Preferred!$A$2:$G$215,7,FALSE)</f>
        <v>54699071.43</v>
      </c>
      <c r="L36" s="18">
        <f t="shared" si="1"/>
        <v>8545300929</v>
      </c>
      <c r="M36" s="4">
        <v>0.37</v>
      </c>
      <c r="N36" s="4">
        <v>0.05</v>
      </c>
      <c r="O36" s="29">
        <f t="shared" si="2"/>
        <v>427265046.4</v>
      </c>
      <c r="P36" s="29">
        <f t="shared" si="3"/>
        <v>678198486.4</v>
      </c>
      <c r="Q36" s="29">
        <f t="shared" si="4"/>
        <v>250933440</v>
      </c>
      <c r="R36" s="4">
        <v>0.075</v>
      </c>
      <c r="S36" s="29">
        <f t="shared" si="5"/>
        <v>491354803.4</v>
      </c>
      <c r="T36" s="29">
        <f t="shared" si="6"/>
        <v>779928259.4</v>
      </c>
      <c r="U36" s="29">
        <f t="shared" si="7"/>
        <v>288573456</v>
      </c>
    </row>
    <row r="37" ht="14.25" customHeight="1">
      <c r="A37" s="4">
        <v>35.0</v>
      </c>
      <c r="B37" s="2" t="s">
        <v>164</v>
      </c>
      <c r="C37" s="2" t="s">
        <v>165</v>
      </c>
      <c r="D37" s="3">
        <v>8.1E9</v>
      </c>
      <c r="E37" s="2" t="s">
        <v>166</v>
      </c>
      <c r="F37" s="4" t="str">
        <f>VLOOKUP(B37,Raw_Data_Collection!$B$2:$F$215,5,FALSE)</f>
        <v>Y</v>
      </c>
      <c r="G37" s="3">
        <f>VLOOKUP(B37,Raw_Data_Collection!$B$2:$J$215,6,FALSE)</f>
        <v>10659988</v>
      </c>
      <c r="H37" s="5" t="s">
        <v>167</v>
      </c>
      <c r="I37" s="4">
        <v>2026.0</v>
      </c>
      <c r="J37" s="18">
        <f>VLOOKUP(B37,Raw_Data_Collection!$B$2:$J$215,9,FALSE)</f>
        <v>51300000</v>
      </c>
      <c r="K37" s="18">
        <f>VLOOKUP(B37,Real_Estate_Stats_Preferred!$A$2:$G$215,7,FALSE)</f>
        <v>51300000</v>
      </c>
      <c r="L37" s="18">
        <f t="shared" si="1"/>
        <v>8048700000</v>
      </c>
      <c r="M37" s="4">
        <v>0.37</v>
      </c>
      <c r="N37" s="4">
        <v>0.05</v>
      </c>
      <c r="O37" s="29">
        <f t="shared" si="2"/>
        <v>402435000</v>
      </c>
      <c r="P37" s="29">
        <f t="shared" si="3"/>
        <v>638785714.3</v>
      </c>
      <c r="Q37" s="29">
        <f t="shared" si="4"/>
        <v>236350714.3</v>
      </c>
      <c r="R37" s="4">
        <v>0.075</v>
      </c>
      <c r="S37" s="29">
        <f t="shared" si="5"/>
        <v>462800250</v>
      </c>
      <c r="T37" s="29">
        <f t="shared" si="6"/>
        <v>734603571.4</v>
      </c>
      <c r="U37" s="29">
        <f t="shared" si="7"/>
        <v>271803321.4</v>
      </c>
      <c r="V37" s="4" t="s">
        <v>168</v>
      </c>
      <c r="W37" s="4" t="s">
        <v>169</v>
      </c>
      <c r="X37" s="7" t="s">
        <v>782</v>
      </c>
      <c r="Y37" s="5" t="s">
        <v>171</v>
      </c>
    </row>
    <row r="38" ht="14.25" customHeight="1">
      <c r="A38" s="4">
        <v>36.0</v>
      </c>
      <c r="B38" s="2" t="s">
        <v>172</v>
      </c>
      <c r="C38" s="2" t="s">
        <v>173</v>
      </c>
      <c r="D38" s="3">
        <v>7.8E9</v>
      </c>
      <c r="E38" s="2" t="s">
        <v>17</v>
      </c>
      <c r="F38" s="4" t="str">
        <f>VLOOKUP(B38,Raw_Data_Collection!$B$2:$F$215,5,FALSE)</f>
        <v>N</v>
      </c>
      <c r="G38" s="3">
        <f>VLOOKUP(B38,Raw_Data_Collection!$B$2:$J$215,6,FALSE)</f>
        <v>8683775</v>
      </c>
      <c r="H38" s="5" t="s">
        <v>174</v>
      </c>
      <c r="I38" s="4">
        <v>2026.0</v>
      </c>
      <c r="J38" s="18">
        <f>VLOOKUP(B38,Raw_Data_Collection!$B$2:$J$215,9,FALSE)</f>
        <v>8683775</v>
      </c>
      <c r="K38" s="18">
        <f>VLOOKUP(B38,Real_Estate_Stats_Preferred!$A$2:$G$215,7,FALSE)</f>
        <v>8683775</v>
      </c>
      <c r="L38" s="18">
        <f t="shared" si="1"/>
        <v>7791316225</v>
      </c>
      <c r="M38" s="4">
        <v>0.37</v>
      </c>
      <c r="N38" s="4">
        <v>0.05</v>
      </c>
      <c r="O38" s="29">
        <f t="shared" si="2"/>
        <v>389565811.3</v>
      </c>
      <c r="P38" s="29">
        <f t="shared" si="3"/>
        <v>618358430.6</v>
      </c>
      <c r="Q38" s="29">
        <f t="shared" si="4"/>
        <v>228792619.3</v>
      </c>
      <c r="R38" s="4">
        <v>0.075</v>
      </c>
      <c r="S38" s="29">
        <f t="shared" si="5"/>
        <v>448000682.9</v>
      </c>
      <c r="T38" s="29">
        <f t="shared" si="6"/>
        <v>711112195.1</v>
      </c>
      <c r="U38" s="29">
        <f t="shared" si="7"/>
        <v>263111512.2</v>
      </c>
      <c r="V38" s="4">
        <v>2026.0</v>
      </c>
      <c r="W38" s="6" t="s">
        <v>174</v>
      </c>
      <c r="X38" s="7" t="s">
        <v>783</v>
      </c>
    </row>
    <row r="39" ht="14.25" customHeight="1">
      <c r="A39" s="4">
        <v>37.0</v>
      </c>
      <c r="B39" s="2" t="s">
        <v>176</v>
      </c>
      <c r="C39" s="2" t="s">
        <v>177</v>
      </c>
      <c r="D39" s="3">
        <v>7.7E9</v>
      </c>
      <c r="E39" s="2" t="s">
        <v>100</v>
      </c>
      <c r="F39" s="4" t="str">
        <f>VLOOKUP(B39,Raw_Data_Collection!$B$2:$F$215,5,FALSE)</f>
        <v>N</v>
      </c>
      <c r="G39" s="3">
        <f>VLOOKUP(B39,Raw_Data_Collection!$B$2:$J$215,6,FALSE)</f>
        <v>10600000</v>
      </c>
      <c r="H39" s="5" t="s">
        <v>178</v>
      </c>
      <c r="I39" s="4">
        <v>2002.0</v>
      </c>
      <c r="J39" s="18">
        <f>VLOOKUP(B39,Raw_Data_Collection!$B$2:$J$215,9,FALSE)</f>
        <v>10600000</v>
      </c>
      <c r="K39" s="18">
        <f>VLOOKUP(B39,Real_Estate_Stats_Preferred!$A$2:$G$215,7,FALSE)</f>
        <v>10600000</v>
      </c>
      <c r="L39" s="18">
        <f t="shared" si="1"/>
        <v>7689400000</v>
      </c>
      <c r="M39" s="4">
        <v>0.37</v>
      </c>
      <c r="N39" s="4">
        <v>0.05</v>
      </c>
      <c r="O39" s="29">
        <f t="shared" si="2"/>
        <v>384470000</v>
      </c>
      <c r="P39" s="29">
        <f t="shared" si="3"/>
        <v>610269841.3</v>
      </c>
      <c r="Q39" s="29">
        <f t="shared" si="4"/>
        <v>225799841.3</v>
      </c>
      <c r="R39" s="4">
        <v>0.075</v>
      </c>
      <c r="S39" s="29">
        <f t="shared" si="5"/>
        <v>442140500</v>
      </c>
      <c r="T39" s="29">
        <f t="shared" si="6"/>
        <v>701810317.5</v>
      </c>
      <c r="U39" s="29">
        <f t="shared" si="7"/>
        <v>259669817.5</v>
      </c>
      <c r="V39" s="4">
        <v>2002.0</v>
      </c>
      <c r="W39" s="5" t="s">
        <v>178</v>
      </c>
      <c r="Y39" s="5" t="s">
        <v>179</v>
      </c>
    </row>
    <row r="40" ht="14.25" customHeight="1">
      <c r="A40" s="4">
        <v>38.0</v>
      </c>
      <c r="B40" s="2" t="s">
        <v>180</v>
      </c>
      <c r="C40" s="2" t="s">
        <v>181</v>
      </c>
      <c r="D40" s="3">
        <v>7.6E9</v>
      </c>
      <c r="E40" s="4" t="s">
        <v>47</v>
      </c>
      <c r="F40" s="4" t="str">
        <f>VLOOKUP(B40,Raw_Data_Collection!$B$2:$F$215,5,FALSE)</f>
        <v>N</v>
      </c>
      <c r="G40" s="3">
        <f>VLOOKUP(B40,Raw_Data_Collection!$B$2:$J$215,6,FALSE)</f>
        <v>8107000</v>
      </c>
      <c r="H40" s="5" t="s">
        <v>182</v>
      </c>
      <c r="I40" s="4">
        <v>2026.0</v>
      </c>
      <c r="J40" s="18">
        <f>VLOOKUP(B40,Raw_Data_Collection!$B$2:$J$215,9,FALSE)</f>
        <v>8107000</v>
      </c>
      <c r="K40" s="18">
        <f>VLOOKUP(B40,Real_Estate_Stats_Preferred!$A$2:$G$215,7,FALSE)</f>
        <v>8107000</v>
      </c>
      <c r="L40" s="18">
        <f t="shared" si="1"/>
        <v>7591893000</v>
      </c>
      <c r="M40" s="4">
        <v>0.37</v>
      </c>
      <c r="N40" s="4">
        <v>0.05</v>
      </c>
      <c r="O40" s="29">
        <f t="shared" si="2"/>
        <v>379594650</v>
      </c>
      <c r="P40" s="29">
        <f t="shared" si="3"/>
        <v>602531190.5</v>
      </c>
      <c r="Q40" s="29">
        <f t="shared" si="4"/>
        <v>222936540.5</v>
      </c>
      <c r="R40" s="4">
        <v>0.075</v>
      </c>
      <c r="S40" s="29">
        <f t="shared" si="5"/>
        <v>436533847.5</v>
      </c>
      <c r="T40" s="29">
        <f t="shared" si="6"/>
        <v>692910869</v>
      </c>
      <c r="U40" s="29">
        <f t="shared" si="7"/>
        <v>256377021.5</v>
      </c>
      <c r="V40" s="4">
        <v>2026.0</v>
      </c>
      <c r="W40" s="5" t="s">
        <v>182</v>
      </c>
      <c r="X40" s="6" t="s">
        <v>784</v>
      </c>
    </row>
    <row r="41" ht="14.25" customHeight="1">
      <c r="A41" s="4">
        <v>39.0</v>
      </c>
      <c r="B41" s="2" t="s">
        <v>184</v>
      </c>
      <c r="C41" s="2" t="s">
        <v>185</v>
      </c>
      <c r="D41" s="3">
        <v>7.4E9</v>
      </c>
      <c r="E41" s="2" t="s">
        <v>47</v>
      </c>
      <c r="F41" s="4" t="str">
        <f>VLOOKUP(B41,Raw_Data_Collection!$B$2:$F$215,5,FALSE)</f>
        <v>N</v>
      </c>
      <c r="G41" s="3">
        <f>VLOOKUP(B41,Raw_Data_Collection!$B$2:$J$215,6,FALSE)</f>
        <v>102000000</v>
      </c>
      <c r="H41" s="5" t="s">
        <v>186</v>
      </c>
      <c r="I41" s="4">
        <v>2014.0</v>
      </c>
      <c r="J41" s="18">
        <f>VLOOKUP(B41,Raw_Data_Collection!$B$2:$J$215,9,FALSE)</f>
        <v>179750000</v>
      </c>
      <c r="K41" s="18">
        <f>VLOOKUP(B41,Real_Estate_Stats_Preferred!$A$2:$G$215,7,FALSE)</f>
        <v>179750000</v>
      </c>
      <c r="L41" s="18">
        <f t="shared" si="1"/>
        <v>7220250000</v>
      </c>
      <c r="M41" s="4">
        <v>0.37</v>
      </c>
      <c r="N41" s="4">
        <v>0.05</v>
      </c>
      <c r="O41" s="29">
        <f t="shared" si="2"/>
        <v>361012500</v>
      </c>
      <c r="P41" s="29">
        <f t="shared" si="3"/>
        <v>573035714.3</v>
      </c>
      <c r="Q41" s="29">
        <f t="shared" si="4"/>
        <v>212023214.3</v>
      </c>
      <c r="R41" s="4">
        <v>0.075</v>
      </c>
      <c r="S41" s="29">
        <f t="shared" si="5"/>
        <v>415164375</v>
      </c>
      <c r="T41" s="29">
        <f t="shared" si="6"/>
        <v>658991071.4</v>
      </c>
      <c r="U41" s="29">
        <f t="shared" si="7"/>
        <v>243826696.4</v>
      </c>
      <c r="V41" s="4" t="s">
        <v>187</v>
      </c>
      <c r="W41" s="4" t="s">
        <v>188</v>
      </c>
    </row>
    <row r="42" ht="14.25" customHeight="1">
      <c r="A42" s="4">
        <v>40.0</v>
      </c>
      <c r="B42" s="2" t="s">
        <v>189</v>
      </c>
      <c r="C42" s="2" t="s">
        <v>190</v>
      </c>
      <c r="D42" s="3">
        <v>7.0E9</v>
      </c>
      <c r="E42" s="2" t="s">
        <v>191</v>
      </c>
      <c r="F42" s="4" t="s">
        <v>18</v>
      </c>
      <c r="G42" s="3">
        <f>VLOOKUP(B42,Raw_Data_Collection!$B$2:$J$215,6,FALSE)</f>
        <v>250000000</v>
      </c>
      <c r="H42" s="5" t="s">
        <v>192</v>
      </c>
      <c r="I42" s="4">
        <v>2024.0</v>
      </c>
      <c r="J42" s="18">
        <f>VLOOKUP(B42,Raw_Data_Collection!$B$2:$J$215,9,FALSE)</f>
        <v>250000000</v>
      </c>
      <c r="K42" s="18">
        <f>VLOOKUP(B42,Real_Estate_Stats_Preferred!$A$2:$G$215,7,FALSE)</f>
        <v>250000000</v>
      </c>
      <c r="L42" s="18">
        <f t="shared" si="1"/>
        <v>6750000000</v>
      </c>
      <c r="M42" s="4">
        <v>0.37</v>
      </c>
      <c r="N42" s="4">
        <v>0.05</v>
      </c>
      <c r="O42" s="29">
        <f t="shared" si="2"/>
        <v>337500000</v>
      </c>
      <c r="P42" s="29">
        <f t="shared" si="3"/>
        <v>535714285.7</v>
      </c>
      <c r="Q42" s="29">
        <f t="shared" si="4"/>
        <v>198214285.7</v>
      </c>
      <c r="R42" s="4">
        <v>0.075</v>
      </c>
      <c r="S42" s="29">
        <f t="shared" si="5"/>
        <v>388125000</v>
      </c>
      <c r="T42" s="29">
        <f t="shared" si="6"/>
        <v>616071428.6</v>
      </c>
      <c r="U42" s="29">
        <f t="shared" si="7"/>
        <v>227946428.6</v>
      </c>
      <c r="V42" s="4">
        <v>2024.0</v>
      </c>
      <c r="W42" s="5" t="s">
        <v>192</v>
      </c>
      <c r="X42" s="4" t="s">
        <v>193</v>
      </c>
    </row>
    <row r="43" ht="14.25" customHeight="1">
      <c r="A43" s="4">
        <v>41.0</v>
      </c>
      <c r="B43" s="2" t="s">
        <v>194</v>
      </c>
      <c r="C43" s="2" t="s">
        <v>195</v>
      </c>
      <c r="D43" s="3">
        <v>6.9E9</v>
      </c>
      <c r="E43" s="2" t="s">
        <v>47</v>
      </c>
      <c r="F43" s="4" t="str">
        <f>VLOOKUP(B43,Raw_Data_Collection!$B$2:$F$215,5,FALSE)</f>
        <v>N</v>
      </c>
      <c r="G43" s="3">
        <f>VLOOKUP(B43,Raw_Data_Collection!$B$2:$J$215,6,FALSE)</f>
        <v>13283376</v>
      </c>
      <c r="J43" s="18">
        <f>VLOOKUP(B43,Raw_Data_Collection!$B$2:$J$215,9,FALSE)</f>
        <v>13283376</v>
      </c>
      <c r="K43" s="18">
        <f>VLOOKUP(B43,Real_Estate_Stats_Preferred!$A$2:$G$215,7,FALSE)</f>
        <v>43886464.29</v>
      </c>
      <c r="L43" s="18">
        <f t="shared" si="1"/>
        <v>6856113536</v>
      </c>
      <c r="M43" s="4">
        <v>0.37</v>
      </c>
      <c r="N43" s="4">
        <v>0.05</v>
      </c>
      <c r="O43" s="29">
        <f t="shared" si="2"/>
        <v>342805676.8</v>
      </c>
      <c r="P43" s="29">
        <f t="shared" si="3"/>
        <v>544135994.9</v>
      </c>
      <c r="Q43" s="29">
        <f t="shared" si="4"/>
        <v>201330318.1</v>
      </c>
      <c r="R43" s="4">
        <v>0.075</v>
      </c>
      <c r="S43" s="29">
        <f t="shared" si="5"/>
        <v>394226528.3</v>
      </c>
      <c r="T43" s="29">
        <f t="shared" si="6"/>
        <v>625756394.1</v>
      </c>
      <c r="U43" s="29">
        <f t="shared" si="7"/>
        <v>231529865.8</v>
      </c>
    </row>
    <row r="44" ht="14.25" customHeight="1">
      <c r="A44" s="4">
        <v>42.0</v>
      </c>
      <c r="B44" s="2" t="s">
        <v>198</v>
      </c>
      <c r="C44" s="2" t="s">
        <v>195</v>
      </c>
      <c r="D44" s="3">
        <v>6.9E9</v>
      </c>
      <c r="E44" s="2" t="s">
        <v>24</v>
      </c>
      <c r="F44" s="4" t="str">
        <f>VLOOKUP(B44,Raw_Data_Collection!$B$2:$F$215,5,FALSE)</f>
        <v>N</v>
      </c>
      <c r="G44" s="3">
        <f>VLOOKUP(B44,Raw_Data_Collection!$B$2:$J$215,6,FALSE)</f>
        <v>15830193</v>
      </c>
      <c r="H44" s="5" t="s">
        <v>199</v>
      </c>
      <c r="I44" s="4">
        <v>2026.0</v>
      </c>
      <c r="J44" s="18">
        <f>VLOOKUP(B44,Raw_Data_Collection!$B$2:$J$215,9,FALSE)</f>
        <v>15830193</v>
      </c>
      <c r="K44" s="18">
        <f>VLOOKUP(B44,Real_Estate_Stats_Preferred!$A$2:$G$215,7,FALSE)</f>
        <v>15830193</v>
      </c>
      <c r="L44" s="18">
        <f t="shared" si="1"/>
        <v>6884169807</v>
      </c>
      <c r="M44" s="4">
        <v>0.37</v>
      </c>
      <c r="N44" s="4">
        <v>0.05</v>
      </c>
      <c r="O44" s="29">
        <f t="shared" si="2"/>
        <v>344208490.4</v>
      </c>
      <c r="P44" s="29">
        <f t="shared" si="3"/>
        <v>546362683.1</v>
      </c>
      <c r="Q44" s="29">
        <f t="shared" si="4"/>
        <v>202154192.7</v>
      </c>
      <c r="R44" s="4">
        <v>0.075</v>
      </c>
      <c r="S44" s="29">
        <f t="shared" si="5"/>
        <v>395839763.9</v>
      </c>
      <c r="T44" s="29">
        <f t="shared" si="6"/>
        <v>628317085.6</v>
      </c>
      <c r="U44" s="29">
        <f t="shared" si="7"/>
        <v>232477321.7</v>
      </c>
      <c r="V44" s="4">
        <v>2026.0</v>
      </c>
      <c r="W44" s="5" t="s">
        <v>199</v>
      </c>
      <c r="X44" s="7" t="s">
        <v>785</v>
      </c>
    </row>
    <row r="45" ht="14.25" customHeight="1">
      <c r="A45" s="4">
        <v>43.0</v>
      </c>
      <c r="B45" s="2" t="s">
        <v>201</v>
      </c>
      <c r="C45" s="2" t="s">
        <v>202</v>
      </c>
      <c r="D45" s="3">
        <v>6.7E9</v>
      </c>
      <c r="E45" s="2" t="s">
        <v>17</v>
      </c>
      <c r="F45" s="4" t="str">
        <f>VLOOKUP(B45,Raw_Data_Collection!$B$2:$F$215,5,FALSE)</f>
        <v>N</v>
      </c>
      <c r="G45" s="3" t="str">
        <f>VLOOKUP(B45,Raw_Data_Collection!$B$2:$J$215,6,FALSE)</f>
        <v/>
      </c>
      <c r="J45" s="2" t="str">
        <f>VLOOKUP(B45,Raw_Data_Collection!$B$2:$J$215,9,FALSE)</f>
        <v/>
      </c>
      <c r="K45" s="18">
        <f>VLOOKUP(B45,Real_Estate_Stats_Preferred!$A$2:$G$215,7,FALSE)</f>
        <v>42614392.86</v>
      </c>
      <c r="L45" s="18">
        <f t="shared" si="1"/>
        <v>6657385607</v>
      </c>
      <c r="M45" s="4">
        <v>0.37</v>
      </c>
      <c r="N45" s="4">
        <v>0.05</v>
      </c>
      <c r="O45" s="29">
        <f t="shared" si="2"/>
        <v>332869280.4</v>
      </c>
      <c r="P45" s="29">
        <f t="shared" si="3"/>
        <v>528363937.1</v>
      </c>
      <c r="Q45" s="29">
        <f t="shared" si="4"/>
        <v>195494656.7</v>
      </c>
      <c r="R45" s="4">
        <v>0.075</v>
      </c>
      <c r="S45" s="29">
        <f t="shared" si="5"/>
        <v>382799672.4</v>
      </c>
      <c r="T45" s="29">
        <f t="shared" si="6"/>
        <v>607618527.6</v>
      </c>
      <c r="U45" s="29">
        <f t="shared" si="7"/>
        <v>224818855.2</v>
      </c>
    </row>
    <row r="46" ht="14.25" customHeight="1">
      <c r="A46" s="4">
        <v>44.0</v>
      </c>
      <c r="B46" s="2" t="s">
        <v>203</v>
      </c>
      <c r="C46" s="2" t="s">
        <v>204</v>
      </c>
      <c r="D46" s="3">
        <v>6.4E9</v>
      </c>
      <c r="E46" s="2" t="s">
        <v>17</v>
      </c>
      <c r="F46" s="4" t="str">
        <f>VLOOKUP(B46,Raw_Data_Collection!$B$2:$F$215,5,FALSE)</f>
        <v>N</v>
      </c>
      <c r="G46" s="3" t="str">
        <f>VLOOKUP(B46,Raw_Data_Collection!$B$2:$J$215,6,FALSE)</f>
        <v/>
      </c>
      <c r="J46" s="2" t="str">
        <f>VLOOKUP(B46,Raw_Data_Collection!$B$2:$J$215,9,FALSE)</f>
        <v/>
      </c>
      <c r="K46" s="18">
        <f>VLOOKUP(B46,Real_Estate_Stats_Preferred!$A$2:$G$215,7,FALSE)</f>
        <v>40706285.71</v>
      </c>
      <c r="L46" s="18">
        <f t="shared" si="1"/>
        <v>6359293714</v>
      </c>
      <c r="M46" s="4">
        <v>0.37</v>
      </c>
      <c r="N46" s="4">
        <v>0.05</v>
      </c>
      <c r="O46" s="29">
        <f t="shared" si="2"/>
        <v>317964685.7</v>
      </c>
      <c r="P46" s="29">
        <f t="shared" si="3"/>
        <v>504705850.3</v>
      </c>
      <c r="Q46" s="29">
        <f t="shared" si="4"/>
        <v>186741164.6</v>
      </c>
      <c r="R46" s="4">
        <v>0.075</v>
      </c>
      <c r="S46" s="29">
        <f t="shared" si="5"/>
        <v>365659388.6</v>
      </c>
      <c r="T46" s="29">
        <f t="shared" si="6"/>
        <v>580411727.9</v>
      </c>
      <c r="U46" s="29">
        <f t="shared" si="7"/>
        <v>214752339.3</v>
      </c>
    </row>
    <row r="47" ht="14.25" customHeight="1">
      <c r="A47" s="4">
        <v>45.0</v>
      </c>
      <c r="B47" s="2" t="s">
        <v>205</v>
      </c>
      <c r="C47" s="2" t="s">
        <v>204</v>
      </c>
      <c r="D47" s="3">
        <v>6.4E9</v>
      </c>
      <c r="E47" s="2" t="s">
        <v>90</v>
      </c>
      <c r="F47" s="4" t="str">
        <f>VLOOKUP(B47,Raw_Data_Collection!$B$2:$F$215,5,FALSE)</f>
        <v>N</v>
      </c>
      <c r="G47" s="3" t="str">
        <f>VLOOKUP(B47,Raw_Data_Collection!$B$2:$J$215,6,FALSE)</f>
        <v/>
      </c>
      <c r="J47" s="2" t="str">
        <f>VLOOKUP(B47,Raw_Data_Collection!$B$2:$J$215,9,FALSE)</f>
        <v/>
      </c>
      <c r="K47" s="18">
        <f>VLOOKUP(B47,Real_Estate_Stats_Preferred!$A$2:$G$215,7,FALSE)</f>
        <v>40706285.71</v>
      </c>
      <c r="L47" s="18">
        <f t="shared" si="1"/>
        <v>6359293714</v>
      </c>
      <c r="M47" s="4">
        <v>0.37</v>
      </c>
      <c r="N47" s="4">
        <v>0.05</v>
      </c>
      <c r="O47" s="29">
        <f t="shared" si="2"/>
        <v>317964685.7</v>
      </c>
      <c r="P47" s="29">
        <f t="shared" si="3"/>
        <v>504705850.3</v>
      </c>
      <c r="Q47" s="29">
        <f t="shared" si="4"/>
        <v>186741164.6</v>
      </c>
      <c r="R47" s="4">
        <v>0.075</v>
      </c>
      <c r="S47" s="29">
        <f t="shared" si="5"/>
        <v>365659388.6</v>
      </c>
      <c r="T47" s="29">
        <f t="shared" si="6"/>
        <v>580411727.9</v>
      </c>
      <c r="U47" s="29">
        <f t="shared" si="7"/>
        <v>214752339.3</v>
      </c>
      <c r="Y47" s="5" t="s">
        <v>179</v>
      </c>
    </row>
    <row r="48" ht="14.25" customHeight="1">
      <c r="A48" s="4">
        <v>46.0</v>
      </c>
      <c r="B48" s="2" t="s">
        <v>206</v>
      </c>
      <c r="C48" s="2" t="s">
        <v>207</v>
      </c>
      <c r="D48" s="3">
        <v>6.3E9</v>
      </c>
      <c r="E48" s="2" t="s">
        <v>17</v>
      </c>
      <c r="F48" s="4" t="str">
        <f>VLOOKUP(B48,Raw_Data_Collection!$B$2:$F$215,5,FALSE)</f>
        <v>N</v>
      </c>
      <c r="G48" s="3">
        <f>VLOOKUP(B48,Raw_Data_Collection!$B$2:$J$215,6,FALSE)</f>
        <v>1031715</v>
      </c>
      <c r="H48" s="5" t="s">
        <v>208</v>
      </c>
      <c r="I48" s="4">
        <v>2026.0</v>
      </c>
      <c r="J48" s="2" t="str">
        <f>VLOOKUP(B48,Raw_Data_Collection!$B$2:$J$215,9,FALSE)</f>
        <v/>
      </c>
      <c r="K48" s="18">
        <f>VLOOKUP(B48,Real_Estate_Stats_Preferred!$A$2:$G$215,7,FALSE)</f>
        <v>1031715</v>
      </c>
      <c r="L48" s="18">
        <f t="shared" si="1"/>
        <v>6298968285</v>
      </c>
      <c r="M48" s="4">
        <v>0.37</v>
      </c>
      <c r="N48" s="4">
        <v>0.05</v>
      </c>
      <c r="O48" s="29">
        <f t="shared" si="2"/>
        <v>314948414.3</v>
      </c>
      <c r="P48" s="29">
        <f t="shared" si="3"/>
        <v>499918117.9</v>
      </c>
      <c r="Q48" s="29">
        <f t="shared" si="4"/>
        <v>184969703.6</v>
      </c>
      <c r="R48" s="4">
        <v>0.075</v>
      </c>
      <c r="S48" s="29">
        <f t="shared" si="5"/>
        <v>362190676.4</v>
      </c>
      <c r="T48" s="29">
        <f t="shared" si="6"/>
        <v>574905835.5</v>
      </c>
      <c r="U48" s="29">
        <f t="shared" si="7"/>
        <v>212715159.1</v>
      </c>
      <c r="V48" s="4"/>
      <c r="W48" s="12"/>
      <c r="X48" s="7" t="s">
        <v>786</v>
      </c>
    </row>
    <row r="49" ht="14.25" customHeight="1">
      <c r="A49" s="4">
        <v>47.0</v>
      </c>
      <c r="B49" s="2" t="s">
        <v>210</v>
      </c>
      <c r="C49" s="2" t="s">
        <v>211</v>
      </c>
      <c r="D49" s="3">
        <v>5.9E9</v>
      </c>
      <c r="E49" s="2" t="s">
        <v>47</v>
      </c>
      <c r="F49" s="4" t="str">
        <f>VLOOKUP(B49,Raw_Data_Collection!$B$2:$F$215,5,FALSE)</f>
        <v>N</v>
      </c>
      <c r="G49" s="3">
        <f>VLOOKUP(B49,Raw_Data_Collection!$B$2:$J$215,6,FALSE)</f>
        <v>80000000</v>
      </c>
      <c r="H49" s="5" t="s">
        <v>212</v>
      </c>
      <c r="I49" s="4">
        <v>2025.0</v>
      </c>
      <c r="J49" s="18">
        <f>VLOOKUP(B49,Raw_Data_Collection!$B$2:$J$215,9,FALSE)</f>
        <v>86500000</v>
      </c>
      <c r="K49" s="18">
        <f>VLOOKUP(B49,Real_Estate_Stats_Preferred!$A$2:$G$215,7,FALSE)</f>
        <v>86500000</v>
      </c>
      <c r="L49" s="18">
        <f t="shared" si="1"/>
        <v>5813500000</v>
      </c>
      <c r="M49" s="4">
        <v>0.37</v>
      </c>
      <c r="N49" s="4">
        <v>0.05</v>
      </c>
      <c r="O49" s="29">
        <f t="shared" si="2"/>
        <v>290675000</v>
      </c>
      <c r="P49" s="29">
        <f t="shared" si="3"/>
        <v>461388888.9</v>
      </c>
      <c r="Q49" s="29">
        <f t="shared" si="4"/>
        <v>170713888.9</v>
      </c>
      <c r="R49" s="4">
        <v>0.075</v>
      </c>
      <c r="S49" s="29">
        <f t="shared" si="5"/>
        <v>334276250</v>
      </c>
      <c r="T49" s="29">
        <f t="shared" si="6"/>
        <v>530597222.2</v>
      </c>
      <c r="U49" s="29">
        <f t="shared" si="7"/>
        <v>196320972.2</v>
      </c>
      <c r="V49" s="4" t="s">
        <v>213</v>
      </c>
      <c r="W49" s="6" t="s">
        <v>214</v>
      </c>
      <c r="X49" s="4" t="s">
        <v>215</v>
      </c>
    </row>
    <row r="50" ht="14.25" customHeight="1">
      <c r="A50" s="4">
        <v>48.0</v>
      </c>
      <c r="B50" s="2" t="s">
        <v>216</v>
      </c>
      <c r="C50" s="2" t="s">
        <v>217</v>
      </c>
      <c r="D50" s="3">
        <v>5.7E9</v>
      </c>
      <c r="E50" s="2" t="s">
        <v>218</v>
      </c>
      <c r="F50" s="4" t="str">
        <f>VLOOKUP(B50,Raw_Data_Collection!$B$2:$F$215,5,FALSE)</f>
        <v>N</v>
      </c>
      <c r="G50" s="3">
        <f>VLOOKUP(B50,Raw_Data_Collection!$B$2:$J$215,6,FALSE)</f>
        <v>18104324</v>
      </c>
      <c r="J50" s="18">
        <f>VLOOKUP(B50,Raw_Data_Collection!$B$2:$J$215,9,FALSE)</f>
        <v>14340561</v>
      </c>
      <c r="K50" s="18">
        <f>VLOOKUP(B50,Real_Estate_Stats_Preferred!$A$2:$G$215,7,FALSE)</f>
        <v>14340561</v>
      </c>
      <c r="L50" s="18">
        <f t="shared" si="1"/>
        <v>5685659439</v>
      </c>
      <c r="M50" s="4">
        <v>0.37</v>
      </c>
      <c r="N50" s="4">
        <v>0.05</v>
      </c>
      <c r="O50" s="29">
        <f t="shared" si="2"/>
        <v>284282972</v>
      </c>
      <c r="P50" s="29">
        <f t="shared" si="3"/>
        <v>451242812.6</v>
      </c>
      <c r="Q50" s="29">
        <f t="shared" si="4"/>
        <v>166959840.7</v>
      </c>
      <c r="R50" s="4">
        <v>0.075</v>
      </c>
      <c r="S50" s="29">
        <f t="shared" si="5"/>
        <v>326925417.7</v>
      </c>
      <c r="T50" s="29">
        <f t="shared" si="6"/>
        <v>518929234.5</v>
      </c>
      <c r="U50" s="29">
        <f t="shared" si="7"/>
        <v>192003816.8</v>
      </c>
      <c r="V50" s="4" t="s">
        <v>220</v>
      </c>
      <c r="W50" s="4" t="s">
        <v>221</v>
      </c>
    </row>
    <row r="51" ht="14.25" customHeight="1">
      <c r="A51" s="4">
        <v>49.0</v>
      </c>
      <c r="B51" s="2" t="s">
        <v>222</v>
      </c>
      <c r="C51" s="2" t="s">
        <v>223</v>
      </c>
      <c r="D51" s="3">
        <v>5.6E9</v>
      </c>
      <c r="E51" s="2" t="s">
        <v>224</v>
      </c>
      <c r="F51" s="4" t="str">
        <f>VLOOKUP(B51,Raw_Data_Collection!$B$2:$F$215,5,FALSE)</f>
        <v>N</v>
      </c>
      <c r="G51" s="3">
        <f>VLOOKUP(B51,Raw_Data_Collection!$B$2:$J$215,6,FALSE)</f>
        <v>877000</v>
      </c>
      <c r="H51" s="5" t="s">
        <v>225</v>
      </c>
      <c r="I51" s="4">
        <v>2026.0</v>
      </c>
      <c r="J51" s="18">
        <f>VLOOKUP(B51,Raw_Data_Collection!$B$2:$J$215,9,FALSE)</f>
        <v>7862000</v>
      </c>
      <c r="K51" s="18">
        <f>VLOOKUP(B51,Real_Estate_Stats_Preferred!$A$2:$G$215,7,FALSE)</f>
        <v>7862000</v>
      </c>
      <c r="L51" s="18">
        <f t="shared" si="1"/>
        <v>5592138000</v>
      </c>
      <c r="M51" s="4">
        <v>0.37</v>
      </c>
      <c r="N51" s="4">
        <v>0.05</v>
      </c>
      <c r="O51" s="29">
        <f t="shared" si="2"/>
        <v>279606900</v>
      </c>
      <c r="P51" s="29">
        <f t="shared" si="3"/>
        <v>443820476.2</v>
      </c>
      <c r="Q51" s="29">
        <f t="shared" si="4"/>
        <v>164213576.2</v>
      </c>
      <c r="R51" s="4">
        <v>0.075</v>
      </c>
      <c r="S51" s="29">
        <f t="shared" si="5"/>
        <v>321547935</v>
      </c>
      <c r="T51" s="29">
        <f t="shared" si="6"/>
        <v>510393547.6</v>
      </c>
      <c r="U51" s="29">
        <f t="shared" si="7"/>
        <v>188845612.6</v>
      </c>
      <c r="V51" s="4">
        <v>2026.0</v>
      </c>
      <c r="W51" s="4" t="s">
        <v>226</v>
      </c>
      <c r="X51" s="10" t="s">
        <v>787</v>
      </c>
    </row>
    <row r="52" ht="14.25" customHeight="1">
      <c r="A52" s="4">
        <v>50.0</v>
      </c>
      <c r="B52" s="2" t="s">
        <v>228</v>
      </c>
      <c r="C52" s="2" t="s">
        <v>223</v>
      </c>
      <c r="D52" s="3">
        <v>5.6E9</v>
      </c>
      <c r="E52" s="2" t="s">
        <v>229</v>
      </c>
      <c r="F52" s="4" t="str">
        <f>VLOOKUP(B52,Raw_Data_Collection!$B$2:$F$215,5,FALSE)</f>
        <v>N</v>
      </c>
      <c r="G52" s="3">
        <f>VLOOKUP(B52,Raw_Data_Collection!$B$2:$J$215,6,FALSE)</f>
        <v>4101800</v>
      </c>
      <c r="J52" s="18">
        <f>VLOOKUP(B52,Raw_Data_Collection!$B$2:$J$215,9,FALSE)</f>
        <v>4101800</v>
      </c>
      <c r="K52" s="18">
        <f>VLOOKUP(B52,Real_Estate_Stats_Preferred!$A$2:$G$215,7,FALSE)</f>
        <v>35618000</v>
      </c>
      <c r="L52" s="18">
        <f t="shared" si="1"/>
        <v>5564382000</v>
      </c>
      <c r="M52" s="4">
        <v>0.37</v>
      </c>
      <c r="N52" s="4">
        <v>0.05</v>
      </c>
      <c r="O52" s="29">
        <f t="shared" si="2"/>
        <v>278219100</v>
      </c>
      <c r="P52" s="29">
        <f t="shared" si="3"/>
        <v>441617619</v>
      </c>
      <c r="Q52" s="29">
        <f t="shared" si="4"/>
        <v>163398519</v>
      </c>
      <c r="R52" s="4">
        <v>0.075</v>
      </c>
      <c r="S52" s="29">
        <f t="shared" si="5"/>
        <v>319951965</v>
      </c>
      <c r="T52" s="29">
        <f t="shared" si="6"/>
        <v>507860261.9</v>
      </c>
      <c r="U52" s="29">
        <f t="shared" si="7"/>
        <v>187908296.9</v>
      </c>
    </row>
    <row r="53" ht="14.25" customHeight="1">
      <c r="A53" s="4">
        <v>51.0</v>
      </c>
      <c r="B53" s="2" t="s">
        <v>232</v>
      </c>
      <c r="C53" s="2" t="s">
        <v>233</v>
      </c>
      <c r="D53" s="3">
        <v>5.5E9</v>
      </c>
      <c r="E53" s="2" t="s">
        <v>17</v>
      </c>
      <c r="F53" s="4" t="str">
        <f>VLOOKUP(B53,Raw_Data_Collection!$B$2:$F$215,5,FALSE)</f>
        <v>N</v>
      </c>
      <c r="G53" s="3">
        <f>VLOOKUP(B53,Raw_Data_Collection!$B$2:$J$215,6,FALSE)</f>
        <v>13169940</v>
      </c>
      <c r="J53" s="18">
        <f>VLOOKUP(B53,Raw_Data_Collection!$B$2:$J$215,9,FALSE)</f>
        <v>13169940</v>
      </c>
      <c r="K53" s="18">
        <f>VLOOKUP(B53,Real_Estate_Stats_Preferred!$A$2:$G$215,7,FALSE)</f>
        <v>34981964.29</v>
      </c>
      <c r="L53" s="18">
        <f t="shared" si="1"/>
        <v>5465018036</v>
      </c>
      <c r="M53" s="4">
        <v>0.37</v>
      </c>
      <c r="N53" s="4">
        <v>0.05</v>
      </c>
      <c r="O53" s="29">
        <f t="shared" si="2"/>
        <v>273250901.8</v>
      </c>
      <c r="P53" s="29">
        <f t="shared" si="3"/>
        <v>433731590.1</v>
      </c>
      <c r="Q53" s="29">
        <f t="shared" si="4"/>
        <v>160480688.4</v>
      </c>
      <c r="R53" s="4">
        <v>0.075</v>
      </c>
      <c r="S53" s="29">
        <f t="shared" si="5"/>
        <v>314238537.1</v>
      </c>
      <c r="T53" s="29">
        <f t="shared" si="6"/>
        <v>498791328.7</v>
      </c>
      <c r="U53" s="29">
        <f t="shared" si="7"/>
        <v>184552791.6</v>
      </c>
    </row>
    <row r="54" ht="14.25" customHeight="1">
      <c r="A54" s="4">
        <v>52.0</v>
      </c>
      <c r="B54" s="2" t="s">
        <v>236</v>
      </c>
      <c r="C54" s="2" t="s">
        <v>237</v>
      </c>
      <c r="D54" s="3">
        <v>5.4E9</v>
      </c>
      <c r="E54" s="2" t="s">
        <v>238</v>
      </c>
      <c r="F54" s="4" t="str">
        <f>VLOOKUP(B54,Raw_Data_Collection!$B$2:$F$215,5,FALSE)</f>
        <v>N</v>
      </c>
      <c r="G54" s="3" t="str">
        <f>VLOOKUP(B54,Raw_Data_Collection!$B$2:$J$215,6,FALSE)</f>
        <v/>
      </c>
      <c r="J54" s="2" t="str">
        <f>VLOOKUP(B54,Raw_Data_Collection!$B$2:$J$215,9,FALSE)</f>
        <v/>
      </c>
      <c r="K54" s="18">
        <f>VLOOKUP(B54,Real_Estate_Stats_Preferred!$A$2:$G$215,7,FALSE)</f>
        <v>34345928.57</v>
      </c>
      <c r="L54" s="18">
        <f t="shared" si="1"/>
        <v>5365654071</v>
      </c>
      <c r="M54" s="4">
        <v>0.37</v>
      </c>
      <c r="N54" s="4">
        <v>0.05</v>
      </c>
      <c r="O54" s="29">
        <f t="shared" si="2"/>
        <v>268282703.6</v>
      </c>
      <c r="P54" s="29">
        <f t="shared" si="3"/>
        <v>425845561.2</v>
      </c>
      <c r="Q54" s="29">
        <f t="shared" si="4"/>
        <v>157562857.7</v>
      </c>
      <c r="R54" s="4">
        <v>0.075</v>
      </c>
      <c r="S54" s="29">
        <f t="shared" si="5"/>
        <v>308525109.1</v>
      </c>
      <c r="T54" s="29">
        <f t="shared" si="6"/>
        <v>489722395.4</v>
      </c>
      <c r="U54" s="29">
        <f t="shared" si="7"/>
        <v>181197286.3</v>
      </c>
    </row>
    <row r="55" ht="14.25" customHeight="1">
      <c r="A55" s="4">
        <v>53.0</v>
      </c>
      <c r="B55" s="2" t="s">
        <v>239</v>
      </c>
      <c r="C55" s="2" t="s">
        <v>237</v>
      </c>
      <c r="D55" s="3">
        <v>5.4E9</v>
      </c>
      <c r="E55" s="2" t="s">
        <v>100</v>
      </c>
      <c r="F55" s="4" t="str">
        <f>VLOOKUP(B55,Raw_Data_Collection!$B$2:$F$215,5,FALSE)</f>
        <v>N</v>
      </c>
      <c r="G55" s="3">
        <f>VLOOKUP(B55,Raw_Data_Collection!$B$2:$J$215,6,FALSE)</f>
        <v>29608760</v>
      </c>
      <c r="H55" s="13" t="s">
        <v>240</v>
      </c>
      <c r="I55" s="4">
        <v>2026.0</v>
      </c>
      <c r="J55" s="18">
        <f>VLOOKUP(B55,Raw_Data_Collection!$B$2:$J$215,9,FALSE)</f>
        <v>29608760</v>
      </c>
      <c r="K55" s="18">
        <f>VLOOKUP(B55,Real_Estate_Stats_Preferred!$A$2:$G$215,7,FALSE)</f>
        <v>29608760</v>
      </c>
      <c r="L55" s="18">
        <f t="shared" si="1"/>
        <v>5370391240</v>
      </c>
      <c r="M55" s="4">
        <v>0.37</v>
      </c>
      <c r="N55" s="4">
        <v>0.05</v>
      </c>
      <c r="O55" s="29">
        <f t="shared" si="2"/>
        <v>268519562</v>
      </c>
      <c r="P55" s="29">
        <f t="shared" si="3"/>
        <v>426221527</v>
      </c>
      <c r="Q55" s="29">
        <f t="shared" si="4"/>
        <v>157701965</v>
      </c>
      <c r="R55" s="4">
        <v>0.075</v>
      </c>
      <c r="S55" s="29">
        <f t="shared" si="5"/>
        <v>308797496.3</v>
      </c>
      <c r="T55" s="29">
        <f t="shared" si="6"/>
        <v>490154756</v>
      </c>
      <c r="U55" s="29">
        <f t="shared" si="7"/>
        <v>181357259.7</v>
      </c>
      <c r="V55" s="4">
        <v>2026.0</v>
      </c>
      <c r="W55" s="8" t="s">
        <v>240</v>
      </c>
      <c r="X55" s="7" t="s">
        <v>788</v>
      </c>
    </row>
    <row r="56" ht="14.25" customHeight="1">
      <c r="A56" s="4">
        <v>54.0</v>
      </c>
      <c r="B56" s="2" t="s">
        <v>242</v>
      </c>
      <c r="C56" s="2" t="s">
        <v>237</v>
      </c>
      <c r="D56" s="3">
        <v>5.4E9</v>
      </c>
      <c r="E56" s="2" t="s">
        <v>47</v>
      </c>
      <c r="F56" s="4" t="str">
        <f>VLOOKUP(B56,Raw_Data_Collection!$B$2:$F$215,5,FALSE)</f>
        <v>N</v>
      </c>
      <c r="G56" s="3">
        <f>VLOOKUP(B56,Raw_Data_Collection!$B$2:$J$215,6,FALSE)</f>
        <v>30000000</v>
      </c>
      <c r="H56" s="5" t="s">
        <v>243</v>
      </c>
      <c r="I56" s="4">
        <v>2014.0</v>
      </c>
      <c r="J56" s="18">
        <f>VLOOKUP(B56,Raw_Data_Collection!$B$2:$J$215,9,FALSE)</f>
        <v>162500000</v>
      </c>
      <c r="K56" s="18">
        <f>VLOOKUP(B56,Real_Estate_Stats_Preferred!$A$2:$G$215,7,FALSE)</f>
        <v>162500000</v>
      </c>
      <c r="L56" s="18">
        <f t="shared" si="1"/>
        <v>5237500000</v>
      </c>
      <c r="M56" s="4">
        <v>0.37</v>
      </c>
      <c r="N56" s="4">
        <v>0.05</v>
      </c>
      <c r="O56" s="29">
        <f t="shared" si="2"/>
        <v>261875000</v>
      </c>
      <c r="P56" s="29">
        <f t="shared" si="3"/>
        <v>415674603.2</v>
      </c>
      <c r="Q56" s="29">
        <f t="shared" si="4"/>
        <v>153799603.2</v>
      </c>
      <c r="R56" s="4">
        <v>0.075</v>
      </c>
      <c r="S56" s="29">
        <f t="shared" si="5"/>
        <v>301156250</v>
      </c>
      <c r="T56" s="29">
        <f t="shared" si="6"/>
        <v>478025793.7</v>
      </c>
      <c r="U56" s="29">
        <f t="shared" si="7"/>
        <v>176869543.7</v>
      </c>
      <c r="V56" s="4" t="s">
        <v>244</v>
      </c>
      <c r="W56" s="4" t="s">
        <v>245</v>
      </c>
      <c r="X56" s="7" t="s">
        <v>789</v>
      </c>
    </row>
    <row r="57" ht="14.25" customHeight="1">
      <c r="A57" s="4">
        <v>55.0</v>
      </c>
      <c r="B57" s="2" t="s">
        <v>247</v>
      </c>
      <c r="C57" s="2" t="s">
        <v>237</v>
      </c>
      <c r="D57" s="3">
        <v>5.4E9</v>
      </c>
      <c r="E57" s="2" t="s">
        <v>47</v>
      </c>
      <c r="F57" s="4" t="str">
        <f>VLOOKUP(B57,Raw_Data_Collection!$B$2:$F$215,5,FALSE)</f>
        <v>N</v>
      </c>
      <c r="G57" s="3" t="str">
        <f>VLOOKUP(B57,Raw_Data_Collection!$B$2:$J$215,6,FALSE)</f>
        <v/>
      </c>
      <c r="J57" s="2" t="str">
        <f>VLOOKUP(B57,Raw_Data_Collection!$B$2:$J$215,9,FALSE)</f>
        <v/>
      </c>
      <c r="K57" s="18">
        <f>VLOOKUP(B57,Real_Estate_Stats_Preferred!$A$2:$G$215,7,FALSE)</f>
        <v>34345928.57</v>
      </c>
      <c r="L57" s="18">
        <f t="shared" si="1"/>
        <v>5365654071</v>
      </c>
      <c r="M57" s="4">
        <v>0.37</v>
      </c>
      <c r="N57" s="4">
        <v>0.05</v>
      </c>
      <c r="O57" s="29">
        <f t="shared" si="2"/>
        <v>268282703.6</v>
      </c>
      <c r="P57" s="29">
        <f t="shared" si="3"/>
        <v>425845561.2</v>
      </c>
      <c r="Q57" s="29">
        <f t="shared" si="4"/>
        <v>157562857.7</v>
      </c>
      <c r="R57" s="4">
        <v>0.075</v>
      </c>
      <c r="S57" s="29">
        <f t="shared" si="5"/>
        <v>308525109.1</v>
      </c>
      <c r="T57" s="29">
        <f t="shared" si="6"/>
        <v>489722395.4</v>
      </c>
      <c r="U57" s="29">
        <f t="shared" si="7"/>
        <v>181197286.3</v>
      </c>
    </row>
    <row r="58" ht="14.25" customHeight="1">
      <c r="A58" s="4">
        <v>56.0</v>
      </c>
      <c r="B58" s="2" t="s">
        <v>248</v>
      </c>
      <c r="C58" s="2" t="s">
        <v>249</v>
      </c>
      <c r="D58" s="3">
        <v>5.3E9</v>
      </c>
      <c r="E58" s="2" t="s">
        <v>80</v>
      </c>
      <c r="F58" s="4" t="str">
        <f>VLOOKUP(B58,Raw_Data_Collection!$B$2:$F$215,5,FALSE)</f>
        <v>N</v>
      </c>
      <c r="G58" s="3">
        <f>VLOOKUP(B58,Raw_Data_Collection!$B$2:$J$215,6,FALSE)</f>
        <v>17115689</v>
      </c>
      <c r="H58" s="5" t="s">
        <v>250</v>
      </c>
      <c r="I58" s="4">
        <v>2026.0</v>
      </c>
      <c r="J58" s="18">
        <f>VLOOKUP(B58,Raw_Data_Collection!$B$2:$J$215,9,FALSE)</f>
        <v>17115689</v>
      </c>
      <c r="K58" s="18">
        <f>VLOOKUP(B58,Real_Estate_Stats_Preferred!$A$2:$G$215,7,FALSE)</f>
        <v>17115689</v>
      </c>
      <c r="L58" s="18">
        <f t="shared" si="1"/>
        <v>5282884311</v>
      </c>
      <c r="M58" s="4">
        <v>0.37</v>
      </c>
      <c r="N58" s="4">
        <v>0.05</v>
      </c>
      <c r="O58" s="29">
        <f t="shared" si="2"/>
        <v>264144215.6</v>
      </c>
      <c r="P58" s="29">
        <f t="shared" si="3"/>
        <v>419276532.6</v>
      </c>
      <c r="Q58" s="29">
        <f t="shared" si="4"/>
        <v>155132317.1</v>
      </c>
      <c r="R58" s="4">
        <v>0.075</v>
      </c>
      <c r="S58" s="29">
        <f t="shared" si="5"/>
        <v>303765847.9</v>
      </c>
      <c r="T58" s="29">
        <f t="shared" si="6"/>
        <v>482168012.5</v>
      </c>
      <c r="U58" s="29">
        <f t="shared" si="7"/>
        <v>178402164.6</v>
      </c>
      <c r="V58" s="4">
        <v>2026.0</v>
      </c>
      <c r="W58" s="5" t="s">
        <v>250</v>
      </c>
      <c r="X58" s="7" t="s">
        <v>790</v>
      </c>
    </row>
    <row r="59" ht="14.25" customHeight="1">
      <c r="A59" s="4">
        <v>57.0</v>
      </c>
      <c r="B59" s="2" t="s">
        <v>252</v>
      </c>
      <c r="C59" s="2" t="s">
        <v>249</v>
      </c>
      <c r="D59" s="3">
        <v>5.3E9</v>
      </c>
      <c r="E59" s="2" t="s">
        <v>80</v>
      </c>
      <c r="F59" s="4" t="str">
        <f>VLOOKUP(B59,Raw_Data_Collection!$B$2:$F$215,5,FALSE)</f>
        <v>N</v>
      </c>
      <c r="G59" s="3">
        <f>VLOOKUP(B59,Raw_Data_Collection!$B$2:$J$215,6,FALSE)</f>
        <v>17115689</v>
      </c>
      <c r="H59" s="5" t="s">
        <v>250</v>
      </c>
      <c r="I59" s="4">
        <v>2026.0</v>
      </c>
      <c r="J59" s="18">
        <f>VLOOKUP(B59,Raw_Data_Collection!$B$2:$J$215,9,FALSE)</f>
        <v>17115689</v>
      </c>
      <c r="K59" s="18">
        <f>VLOOKUP(B59,Real_Estate_Stats_Preferred!$A$2:$G$215,7,FALSE)</f>
        <v>17115689</v>
      </c>
      <c r="L59" s="18">
        <f t="shared" si="1"/>
        <v>5282884311</v>
      </c>
      <c r="M59" s="4">
        <v>0.37</v>
      </c>
      <c r="N59" s="4">
        <v>0.05</v>
      </c>
      <c r="O59" s="29">
        <f t="shared" si="2"/>
        <v>264144215.6</v>
      </c>
      <c r="P59" s="29">
        <f t="shared" si="3"/>
        <v>419276532.6</v>
      </c>
      <c r="Q59" s="29">
        <f t="shared" si="4"/>
        <v>155132317.1</v>
      </c>
      <c r="R59" s="4">
        <v>0.075</v>
      </c>
      <c r="S59" s="29">
        <f t="shared" si="5"/>
        <v>303765847.9</v>
      </c>
      <c r="T59" s="29">
        <f t="shared" si="6"/>
        <v>482168012.5</v>
      </c>
      <c r="U59" s="29">
        <f t="shared" si="7"/>
        <v>178402164.6</v>
      </c>
      <c r="V59" s="4">
        <v>2026.0</v>
      </c>
      <c r="W59" s="5" t="s">
        <v>250</v>
      </c>
      <c r="X59" s="12" t="s">
        <v>253</v>
      </c>
    </row>
    <row r="60" ht="14.25" customHeight="1">
      <c r="A60" s="4">
        <v>58.0</v>
      </c>
      <c r="B60" s="2" t="s">
        <v>254</v>
      </c>
      <c r="C60" s="2" t="s">
        <v>249</v>
      </c>
      <c r="D60" s="3">
        <v>5.3E9</v>
      </c>
      <c r="E60" s="2" t="s">
        <v>17</v>
      </c>
      <c r="F60" s="4" t="str">
        <f>VLOOKUP(B60,Raw_Data_Collection!$B$2:$F$215,5,FALSE)</f>
        <v>N</v>
      </c>
      <c r="G60" s="3" t="str">
        <f>VLOOKUP(B60,Raw_Data_Collection!$B$2:$J$215,6,FALSE)</f>
        <v/>
      </c>
      <c r="J60" s="2" t="str">
        <f>VLOOKUP(B60,Raw_Data_Collection!$B$2:$J$215,9,FALSE)</f>
        <v/>
      </c>
      <c r="K60" s="18">
        <f>VLOOKUP(B60,Real_Estate_Stats_Preferred!$A$2:$G$215,7,FALSE)</f>
        <v>33709892.86</v>
      </c>
      <c r="L60" s="18">
        <f t="shared" si="1"/>
        <v>5266290107</v>
      </c>
      <c r="M60" s="4">
        <v>0.37</v>
      </c>
      <c r="N60" s="4">
        <v>0.05</v>
      </c>
      <c r="O60" s="29">
        <f t="shared" si="2"/>
        <v>263314505.4</v>
      </c>
      <c r="P60" s="29">
        <f t="shared" si="3"/>
        <v>417959532.3</v>
      </c>
      <c r="Q60" s="29">
        <f t="shared" si="4"/>
        <v>154645027</v>
      </c>
      <c r="R60" s="4">
        <v>0.075</v>
      </c>
      <c r="S60" s="29">
        <f t="shared" si="5"/>
        <v>302811681.2</v>
      </c>
      <c r="T60" s="29">
        <f t="shared" si="6"/>
        <v>480653462.2</v>
      </c>
      <c r="U60" s="29">
        <f t="shared" si="7"/>
        <v>177841781</v>
      </c>
    </row>
    <row r="61" ht="14.25" customHeight="1">
      <c r="A61" s="4">
        <v>59.0</v>
      </c>
      <c r="B61" s="2" t="s">
        <v>255</v>
      </c>
      <c r="C61" s="2" t="s">
        <v>249</v>
      </c>
      <c r="D61" s="3">
        <v>5.3E9</v>
      </c>
      <c r="E61" s="2" t="s">
        <v>256</v>
      </c>
      <c r="F61" s="4" t="str">
        <f>VLOOKUP(B61,Raw_Data_Collection!$B$2:$F$215,5,FALSE)</f>
        <v>N</v>
      </c>
      <c r="G61" s="3">
        <f>VLOOKUP(B61,Raw_Data_Collection!$B$2:$J$215,6,FALSE)</f>
        <v>41600000</v>
      </c>
      <c r="H61" s="5" t="s">
        <v>257</v>
      </c>
      <c r="I61" s="4">
        <v>2026.0</v>
      </c>
      <c r="J61" s="18">
        <f>VLOOKUP(B61,Raw_Data_Collection!$B$2:$J$215,9,FALSE)</f>
        <v>123000000</v>
      </c>
      <c r="K61" s="18">
        <f>VLOOKUP(B61,Real_Estate_Stats_Preferred!$A$2:$G$215,7,FALSE)</f>
        <v>123000000</v>
      </c>
      <c r="L61" s="18">
        <f t="shared" si="1"/>
        <v>5177000000</v>
      </c>
      <c r="M61" s="4">
        <v>0.37</v>
      </c>
      <c r="N61" s="4">
        <v>0.05</v>
      </c>
      <c r="O61" s="29">
        <f t="shared" si="2"/>
        <v>258850000</v>
      </c>
      <c r="P61" s="29">
        <f t="shared" si="3"/>
        <v>410873015.9</v>
      </c>
      <c r="Q61" s="29">
        <f t="shared" si="4"/>
        <v>152023015.9</v>
      </c>
      <c r="R61" s="4">
        <v>0.075</v>
      </c>
      <c r="S61" s="29">
        <f t="shared" si="5"/>
        <v>297677500</v>
      </c>
      <c r="T61" s="29">
        <f t="shared" si="6"/>
        <v>472503968.3</v>
      </c>
      <c r="U61" s="29">
        <f t="shared" si="7"/>
        <v>174826468.3</v>
      </c>
      <c r="V61" s="4" t="s">
        <v>258</v>
      </c>
      <c r="W61" s="4" t="s">
        <v>259</v>
      </c>
      <c r="X61" s="4" t="s">
        <v>260</v>
      </c>
    </row>
    <row r="62" ht="14.25" customHeight="1">
      <c r="A62" s="4">
        <v>60.0</v>
      </c>
      <c r="B62" s="2" t="s">
        <v>261</v>
      </c>
      <c r="C62" s="2" t="s">
        <v>262</v>
      </c>
      <c r="D62" s="3">
        <v>5.1E9</v>
      </c>
      <c r="E62" s="2" t="s">
        <v>263</v>
      </c>
      <c r="F62" s="4" t="s">
        <v>34</v>
      </c>
      <c r="G62" s="3">
        <f>VLOOKUP(B62,Raw_Data_Collection!$B$2:$J$215,6,FALSE)</f>
        <v>1750000</v>
      </c>
      <c r="H62" s="5" t="s">
        <v>264</v>
      </c>
      <c r="I62" s="4">
        <v>2016.0</v>
      </c>
      <c r="J62" s="18">
        <f>VLOOKUP(B62,Raw_Data_Collection!$B$2:$J$215,9,FALSE)</f>
        <v>3250000</v>
      </c>
      <c r="K62" s="18">
        <f>VLOOKUP(B62,Real_Estate_Stats_Preferred!$A$2:$G$215,7,FALSE)</f>
        <v>3250000</v>
      </c>
      <c r="L62" s="18">
        <f t="shared" si="1"/>
        <v>5096750000</v>
      </c>
      <c r="M62" s="4">
        <v>0.37</v>
      </c>
      <c r="N62" s="4">
        <v>0.05</v>
      </c>
      <c r="O62" s="29">
        <f t="shared" si="2"/>
        <v>254837500</v>
      </c>
      <c r="P62" s="29">
        <f t="shared" si="3"/>
        <v>404503968.3</v>
      </c>
      <c r="Q62" s="29">
        <f t="shared" si="4"/>
        <v>149666468.3</v>
      </c>
      <c r="R62" s="4">
        <v>0.075</v>
      </c>
      <c r="S62" s="29">
        <f t="shared" si="5"/>
        <v>293063125</v>
      </c>
      <c r="T62" s="29">
        <f t="shared" si="6"/>
        <v>465179563.5</v>
      </c>
      <c r="U62" s="29">
        <f t="shared" si="7"/>
        <v>172116438.5</v>
      </c>
      <c r="V62" s="4" t="s">
        <v>265</v>
      </c>
      <c r="W62" s="6" t="s">
        <v>264</v>
      </c>
      <c r="X62" s="4" t="s">
        <v>266</v>
      </c>
      <c r="Y62" s="5" t="s">
        <v>94</v>
      </c>
    </row>
    <row r="63" ht="14.25" customHeight="1">
      <c r="A63" s="4">
        <v>61.0</v>
      </c>
      <c r="B63" s="2" t="s">
        <v>267</v>
      </c>
      <c r="C63" s="2" t="s">
        <v>262</v>
      </c>
      <c r="D63" s="3">
        <v>5.1E9</v>
      </c>
      <c r="E63" s="2" t="s">
        <v>268</v>
      </c>
      <c r="F63" s="4" t="str">
        <f>VLOOKUP(B63,Raw_Data_Collection!$B$2:$F$215,5,FALSE)</f>
        <v>N</v>
      </c>
      <c r="G63" s="3" t="str">
        <f>VLOOKUP(B63,Raw_Data_Collection!$B$2:$J$215,6,FALSE)</f>
        <v/>
      </c>
      <c r="J63" s="2" t="str">
        <f>VLOOKUP(B63,Raw_Data_Collection!$B$2:$J$215,9,FALSE)</f>
        <v/>
      </c>
      <c r="K63" s="18">
        <f>VLOOKUP(B63,Real_Estate_Stats_Preferred!$A$2:$G$215,7,FALSE)</f>
        <v>32437821.43</v>
      </c>
      <c r="L63" s="18">
        <f t="shared" si="1"/>
        <v>5067562179</v>
      </c>
      <c r="M63" s="4">
        <v>0.37</v>
      </c>
      <c r="N63" s="4">
        <v>0.05</v>
      </c>
      <c r="O63" s="29">
        <f t="shared" si="2"/>
        <v>253378108.9</v>
      </c>
      <c r="P63" s="29">
        <f t="shared" si="3"/>
        <v>402187474.5</v>
      </c>
      <c r="Q63" s="29">
        <f t="shared" si="4"/>
        <v>148809365.6</v>
      </c>
      <c r="R63" s="4">
        <v>0.075</v>
      </c>
      <c r="S63" s="29">
        <f t="shared" si="5"/>
        <v>291384825.3</v>
      </c>
      <c r="T63" s="29">
        <f t="shared" si="6"/>
        <v>462515595.7</v>
      </c>
      <c r="U63" s="29">
        <f t="shared" si="7"/>
        <v>171130770.4</v>
      </c>
    </row>
    <row r="64" ht="14.25" customHeight="1">
      <c r="A64" s="4">
        <v>62.0</v>
      </c>
      <c r="B64" s="2" t="s">
        <v>269</v>
      </c>
      <c r="C64" s="2" t="s">
        <v>270</v>
      </c>
      <c r="D64" s="3">
        <v>5.0E9</v>
      </c>
      <c r="E64" s="2" t="s">
        <v>271</v>
      </c>
      <c r="F64" s="4" t="str">
        <f>VLOOKUP(B64,Raw_Data_Collection!$B$2:$F$215,5,FALSE)</f>
        <v>N</v>
      </c>
      <c r="G64" s="3" t="str">
        <f>VLOOKUP(B64,Raw_Data_Collection!$B$2:$J$215,6,FALSE)</f>
        <v/>
      </c>
      <c r="J64" s="2" t="str">
        <f>VLOOKUP(B64,Raw_Data_Collection!$B$2:$J$215,9,FALSE)</f>
        <v/>
      </c>
      <c r="K64" s="18">
        <f>VLOOKUP(B64,Real_Estate_Stats_Preferred!$A$2:$G$215,7,FALSE)</f>
        <v>31801785.71</v>
      </c>
      <c r="L64" s="18">
        <f t="shared" si="1"/>
        <v>4968198214</v>
      </c>
      <c r="M64" s="4">
        <v>0.37</v>
      </c>
      <c r="N64" s="4">
        <v>0.05</v>
      </c>
      <c r="O64" s="29">
        <f t="shared" si="2"/>
        <v>248409910.7</v>
      </c>
      <c r="P64" s="29">
        <f t="shared" si="3"/>
        <v>394301445.6</v>
      </c>
      <c r="Q64" s="29">
        <f t="shared" si="4"/>
        <v>145891534.9</v>
      </c>
      <c r="R64" s="4">
        <v>0.075</v>
      </c>
      <c r="S64" s="29">
        <f t="shared" si="5"/>
        <v>285671397.3</v>
      </c>
      <c r="T64" s="29">
        <f t="shared" si="6"/>
        <v>453446662.4</v>
      </c>
      <c r="U64" s="29">
        <f t="shared" si="7"/>
        <v>167775265.1</v>
      </c>
    </row>
    <row r="65" ht="14.25" customHeight="1">
      <c r="A65" s="4">
        <v>63.0</v>
      </c>
      <c r="B65" s="2" t="s">
        <v>272</v>
      </c>
      <c r="C65" s="2" t="s">
        <v>270</v>
      </c>
      <c r="D65" s="3">
        <v>5.0E9</v>
      </c>
      <c r="E65" s="2" t="s">
        <v>100</v>
      </c>
      <c r="F65" s="4" t="str">
        <f>VLOOKUP(B65,Raw_Data_Collection!$B$2:$F$215,5,FALSE)</f>
        <v>N</v>
      </c>
      <c r="G65" s="3" t="str">
        <f>VLOOKUP(B65,Raw_Data_Collection!$B$2:$J$215,6,FALSE)</f>
        <v/>
      </c>
      <c r="J65" s="2" t="str">
        <f>VLOOKUP(B65,Raw_Data_Collection!$B$2:$J$215,9,FALSE)</f>
        <v/>
      </c>
      <c r="K65" s="18">
        <f>VLOOKUP(B65,Real_Estate_Stats_Preferred!$A$2:$G$215,7,FALSE)</f>
        <v>31801785.71</v>
      </c>
      <c r="L65" s="18">
        <f t="shared" si="1"/>
        <v>4968198214</v>
      </c>
      <c r="M65" s="4">
        <v>0.37</v>
      </c>
      <c r="N65" s="4">
        <v>0.05</v>
      </c>
      <c r="O65" s="29">
        <f t="shared" si="2"/>
        <v>248409910.7</v>
      </c>
      <c r="P65" s="29">
        <f t="shared" si="3"/>
        <v>394301445.6</v>
      </c>
      <c r="Q65" s="29">
        <f t="shared" si="4"/>
        <v>145891534.9</v>
      </c>
      <c r="R65" s="4">
        <v>0.075</v>
      </c>
      <c r="S65" s="29">
        <f t="shared" si="5"/>
        <v>285671397.3</v>
      </c>
      <c r="T65" s="29">
        <f t="shared" si="6"/>
        <v>453446662.4</v>
      </c>
      <c r="U65" s="29">
        <f t="shared" si="7"/>
        <v>167775265.1</v>
      </c>
    </row>
    <row r="66" ht="14.25" customHeight="1">
      <c r="A66" s="4">
        <v>64.0</v>
      </c>
      <c r="B66" s="2" t="s">
        <v>273</v>
      </c>
      <c r="C66" s="2" t="s">
        <v>274</v>
      </c>
      <c r="D66" s="3">
        <v>4.9E9</v>
      </c>
      <c r="E66" s="2" t="s">
        <v>100</v>
      </c>
      <c r="F66" s="4" t="str">
        <f>VLOOKUP(B66,Raw_Data_Collection!$B$2:$F$215,5,FALSE)</f>
        <v>N</v>
      </c>
      <c r="G66" s="3">
        <f>VLOOKUP(B66,Raw_Data_Collection!$B$2:$J$215,6,FALSE)</f>
        <v>31900000</v>
      </c>
      <c r="H66" s="5" t="s">
        <v>149</v>
      </c>
      <c r="I66" s="4">
        <v>2018.0</v>
      </c>
      <c r="J66" s="18">
        <f>VLOOKUP(B66,Raw_Data_Collection!$B$2:$J$215,9,FALSE)</f>
        <v>31900000</v>
      </c>
      <c r="K66" s="18">
        <f>VLOOKUP(B66,Real_Estate_Stats_Preferred!$A$2:$G$215,7,FALSE)</f>
        <v>31900000</v>
      </c>
      <c r="L66" s="18">
        <f t="shared" si="1"/>
        <v>4868100000</v>
      </c>
      <c r="M66" s="4">
        <v>0.37</v>
      </c>
      <c r="N66" s="4">
        <v>0.05</v>
      </c>
      <c r="O66" s="29">
        <f t="shared" si="2"/>
        <v>243405000</v>
      </c>
      <c r="P66" s="29">
        <f t="shared" si="3"/>
        <v>386357142.9</v>
      </c>
      <c r="Q66" s="29">
        <f t="shared" si="4"/>
        <v>142952142.9</v>
      </c>
      <c r="R66" s="4">
        <v>0.075</v>
      </c>
      <c r="S66" s="29">
        <f t="shared" si="5"/>
        <v>279915750</v>
      </c>
      <c r="T66" s="29">
        <f t="shared" si="6"/>
        <v>444310714.3</v>
      </c>
      <c r="U66" s="29">
        <f t="shared" si="7"/>
        <v>164394964.3</v>
      </c>
      <c r="V66" s="4" t="s">
        <v>275</v>
      </c>
      <c r="W66" s="4" t="s">
        <v>276</v>
      </c>
      <c r="X66" s="4" t="s">
        <v>277</v>
      </c>
    </row>
    <row r="67" ht="14.25" customHeight="1">
      <c r="A67" s="4">
        <v>65.0</v>
      </c>
      <c r="B67" s="2" t="s">
        <v>278</v>
      </c>
      <c r="C67" s="2" t="s">
        <v>274</v>
      </c>
      <c r="D67" s="3">
        <v>4.9E9</v>
      </c>
      <c r="E67" s="2" t="s">
        <v>100</v>
      </c>
      <c r="F67" s="4" t="str">
        <f>VLOOKUP(B67,Raw_Data_Collection!$B$2:$F$215,5,FALSE)</f>
        <v>N</v>
      </c>
      <c r="G67" s="3" t="str">
        <f>VLOOKUP(B67,Raw_Data_Collection!$B$2:$J$215,6,FALSE)</f>
        <v/>
      </c>
      <c r="J67" s="2" t="str">
        <f>VLOOKUP(B67,Raw_Data_Collection!$B$2:$J$215,9,FALSE)</f>
        <v/>
      </c>
      <c r="K67" s="18">
        <f>VLOOKUP(B67,Real_Estate_Stats_Preferred!$A$2:$G$215,7,FALSE)</f>
        <v>31165750</v>
      </c>
      <c r="L67" s="18">
        <f t="shared" si="1"/>
        <v>4868834250</v>
      </c>
      <c r="M67" s="4">
        <v>0.37</v>
      </c>
      <c r="N67" s="4">
        <v>0.05</v>
      </c>
      <c r="O67" s="29">
        <f t="shared" si="2"/>
        <v>243441712.5</v>
      </c>
      <c r="P67" s="29">
        <f t="shared" si="3"/>
        <v>386415416.7</v>
      </c>
      <c r="Q67" s="29">
        <f t="shared" si="4"/>
        <v>142973704.2</v>
      </c>
      <c r="R67" s="4">
        <v>0.075</v>
      </c>
      <c r="S67" s="29">
        <f t="shared" si="5"/>
        <v>279957969.4</v>
      </c>
      <c r="T67" s="29">
        <f t="shared" si="6"/>
        <v>444377729.2</v>
      </c>
      <c r="U67" s="29">
        <f t="shared" si="7"/>
        <v>164419759.8</v>
      </c>
    </row>
    <row r="68" ht="14.25" customHeight="1">
      <c r="A68" s="4">
        <v>66.0</v>
      </c>
      <c r="B68" s="2" t="s">
        <v>279</v>
      </c>
      <c r="C68" s="2" t="s">
        <v>280</v>
      </c>
      <c r="D68" s="3">
        <v>4.8E9</v>
      </c>
      <c r="E68" s="2" t="s">
        <v>100</v>
      </c>
      <c r="F68" s="4" t="str">
        <f>VLOOKUP(B68,Raw_Data_Collection!$B$2:$F$215,5,FALSE)</f>
        <v>N</v>
      </c>
      <c r="G68" s="3">
        <f>VLOOKUP(B68,Raw_Data_Collection!$B$2:$J$215,6,FALSE)</f>
        <v>22222762</v>
      </c>
      <c r="H68" s="5" t="s">
        <v>281</v>
      </c>
      <c r="I68" s="4">
        <v>2026.0</v>
      </c>
      <c r="J68" s="18">
        <f>VLOOKUP(B68,Raw_Data_Collection!$B$2:$J$215,9,FALSE)</f>
        <v>59322762</v>
      </c>
      <c r="K68" s="18">
        <f>VLOOKUP(B68,Real_Estate_Stats_Preferred!$A$2:$G$215,7,FALSE)</f>
        <v>59322762</v>
      </c>
      <c r="L68" s="18">
        <f t="shared" si="1"/>
        <v>4740677238</v>
      </c>
      <c r="M68" s="4">
        <v>0.37</v>
      </c>
      <c r="N68" s="4">
        <v>0.05</v>
      </c>
      <c r="O68" s="29">
        <f t="shared" si="2"/>
        <v>237033861.9</v>
      </c>
      <c r="P68" s="29">
        <f t="shared" si="3"/>
        <v>376244225.2</v>
      </c>
      <c r="Q68" s="29">
        <f t="shared" si="4"/>
        <v>139210363.3</v>
      </c>
      <c r="R68" s="4">
        <v>0.075</v>
      </c>
      <c r="S68" s="29">
        <f t="shared" si="5"/>
        <v>272588941.2</v>
      </c>
      <c r="T68" s="29">
        <f t="shared" si="6"/>
        <v>432680859</v>
      </c>
      <c r="U68" s="29">
        <f t="shared" si="7"/>
        <v>160091917.8</v>
      </c>
      <c r="V68" s="4" t="s">
        <v>282</v>
      </c>
      <c r="W68" s="4" t="s">
        <v>283</v>
      </c>
      <c r="X68" s="10" t="s">
        <v>791</v>
      </c>
    </row>
    <row r="69" ht="14.25" customHeight="1">
      <c r="A69" s="4">
        <v>67.0</v>
      </c>
      <c r="B69" s="2" t="s">
        <v>285</v>
      </c>
      <c r="C69" s="2" t="s">
        <v>280</v>
      </c>
      <c r="D69" s="3">
        <v>4.8E9</v>
      </c>
      <c r="E69" s="2" t="s">
        <v>100</v>
      </c>
      <c r="F69" s="4" t="str">
        <f>VLOOKUP(B69,Raw_Data_Collection!$B$2:$F$215,5,FALSE)</f>
        <v>N</v>
      </c>
      <c r="G69" s="3">
        <f>VLOOKUP(B69,Raw_Data_Collection!$B$2:$J$215,6,FALSE)</f>
        <v>6849000</v>
      </c>
      <c r="H69" s="5" t="s">
        <v>286</v>
      </c>
      <c r="I69" s="4">
        <v>2026.0</v>
      </c>
      <c r="J69" s="18">
        <f>VLOOKUP(B69,Raw_Data_Collection!$B$2:$J$215,9,FALSE)</f>
        <v>6849000</v>
      </c>
      <c r="K69" s="18">
        <f>VLOOKUP(B69,Real_Estate_Stats_Preferred!$A$2:$G$215,7,FALSE)</f>
        <v>6849000</v>
      </c>
      <c r="L69" s="18">
        <f t="shared" si="1"/>
        <v>4793151000</v>
      </c>
      <c r="M69" s="4">
        <v>0.37</v>
      </c>
      <c r="N69" s="4">
        <v>0.05</v>
      </c>
      <c r="O69" s="29">
        <f t="shared" si="2"/>
        <v>239657550</v>
      </c>
      <c r="P69" s="29">
        <f t="shared" si="3"/>
        <v>380408809.5</v>
      </c>
      <c r="Q69" s="29">
        <f t="shared" si="4"/>
        <v>140751259.5</v>
      </c>
      <c r="R69" s="4">
        <v>0.075</v>
      </c>
      <c r="S69" s="29">
        <f t="shared" si="5"/>
        <v>275606182.5</v>
      </c>
      <c r="T69" s="29">
        <f t="shared" si="6"/>
        <v>437470131</v>
      </c>
      <c r="U69" s="29">
        <f t="shared" si="7"/>
        <v>161863948.5</v>
      </c>
      <c r="V69" s="4">
        <v>2026.0</v>
      </c>
      <c r="W69" s="5" t="s">
        <v>286</v>
      </c>
      <c r="X69" s="6" t="s">
        <v>792</v>
      </c>
    </row>
    <row r="70" ht="14.25" customHeight="1">
      <c r="A70" s="4">
        <v>68.0</v>
      </c>
      <c r="B70" s="2" t="s">
        <v>288</v>
      </c>
      <c r="C70" s="2" t="s">
        <v>280</v>
      </c>
      <c r="D70" s="3">
        <v>4.8E9</v>
      </c>
      <c r="E70" s="2" t="s">
        <v>256</v>
      </c>
      <c r="F70" s="4" t="str">
        <f>VLOOKUP(B70,Raw_Data_Collection!$B$2:$F$215,5,FALSE)</f>
        <v>N</v>
      </c>
      <c r="G70" s="3">
        <f>VLOOKUP(B70,Raw_Data_Collection!$B$2:$J$215,6,FALSE)</f>
        <v>5884000</v>
      </c>
      <c r="H70" s="5" t="s">
        <v>289</v>
      </c>
      <c r="I70" s="4">
        <v>2026.0</v>
      </c>
      <c r="J70" s="18">
        <f>VLOOKUP(B70,Raw_Data_Collection!$B$2:$J$215,9,FALSE)</f>
        <v>5884000</v>
      </c>
      <c r="K70" s="18">
        <f>VLOOKUP(B70,Real_Estate_Stats_Preferred!$A$2:$G$215,7,FALSE)</f>
        <v>5884000</v>
      </c>
      <c r="L70" s="18">
        <f t="shared" si="1"/>
        <v>4794116000</v>
      </c>
      <c r="M70" s="4">
        <v>0.37</v>
      </c>
      <c r="N70" s="4">
        <v>0.05</v>
      </c>
      <c r="O70" s="29">
        <f t="shared" si="2"/>
        <v>239705800</v>
      </c>
      <c r="P70" s="29">
        <f t="shared" si="3"/>
        <v>380485396.8</v>
      </c>
      <c r="Q70" s="29">
        <f t="shared" si="4"/>
        <v>140779596.8</v>
      </c>
      <c r="R70" s="4">
        <v>0.075</v>
      </c>
      <c r="S70" s="29">
        <f t="shared" si="5"/>
        <v>275661670</v>
      </c>
      <c r="T70" s="29">
        <f t="shared" si="6"/>
        <v>437558206.3</v>
      </c>
      <c r="U70" s="29">
        <f t="shared" si="7"/>
        <v>161896536.3</v>
      </c>
      <c r="V70" s="4">
        <v>2026.0</v>
      </c>
      <c r="W70" s="5" t="s">
        <v>289</v>
      </c>
      <c r="X70" s="7" t="s">
        <v>793</v>
      </c>
    </row>
    <row r="71" ht="14.25" customHeight="1">
      <c r="A71" s="4">
        <v>69.0</v>
      </c>
      <c r="B71" s="2" t="s">
        <v>291</v>
      </c>
      <c r="C71" s="2" t="s">
        <v>280</v>
      </c>
      <c r="D71" s="3">
        <v>4.8E9</v>
      </c>
      <c r="E71" s="2" t="s">
        <v>218</v>
      </c>
      <c r="F71" s="4" t="str">
        <f>VLOOKUP(B71,Raw_Data_Collection!$B$2:$F$215,5,FALSE)</f>
        <v>N</v>
      </c>
      <c r="G71" s="3">
        <f>VLOOKUP(B71,Raw_Data_Collection!$B$2:$J$215,6,FALSE)</f>
        <v>13269963</v>
      </c>
      <c r="H71" s="5" t="s">
        <v>292</v>
      </c>
      <c r="I71" s="4">
        <v>2026.0</v>
      </c>
      <c r="J71" s="18">
        <f>VLOOKUP(B71,Raw_Data_Collection!$B$2:$J$215,9,FALSE)</f>
        <v>25671792</v>
      </c>
      <c r="K71" s="18">
        <f>VLOOKUP(B71,Real_Estate_Stats_Preferred!$A$2:$G$215,7,FALSE)</f>
        <v>25671792</v>
      </c>
      <c r="L71" s="18">
        <f t="shared" si="1"/>
        <v>4774328208</v>
      </c>
      <c r="M71" s="4">
        <v>0.37</v>
      </c>
      <c r="N71" s="4">
        <v>0.05</v>
      </c>
      <c r="O71" s="29">
        <f t="shared" si="2"/>
        <v>238716410.4</v>
      </c>
      <c r="P71" s="29">
        <f t="shared" si="3"/>
        <v>378914937.1</v>
      </c>
      <c r="Q71" s="29">
        <f t="shared" si="4"/>
        <v>140198526.7</v>
      </c>
      <c r="R71" s="4">
        <v>0.075</v>
      </c>
      <c r="S71" s="29">
        <f t="shared" si="5"/>
        <v>274523872</v>
      </c>
      <c r="T71" s="29">
        <f t="shared" si="6"/>
        <v>435752177.7</v>
      </c>
      <c r="U71" s="29">
        <f t="shared" si="7"/>
        <v>161228305.8</v>
      </c>
      <c r="V71" s="4">
        <v>2026.0</v>
      </c>
      <c r="W71" s="4" t="s">
        <v>293</v>
      </c>
      <c r="X71" s="7" t="s">
        <v>794</v>
      </c>
    </row>
    <row r="72" ht="14.25" customHeight="1">
      <c r="A72" s="4">
        <v>70.0</v>
      </c>
      <c r="B72" s="2" t="s">
        <v>295</v>
      </c>
      <c r="C72" s="2" t="s">
        <v>280</v>
      </c>
      <c r="D72" s="3">
        <v>4.8E9</v>
      </c>
      <c r="E72" s="2" t="s">
        <v>100</v>
      </c>
      <c r="F72" s="4" t="str">
        <f>VLOOKUP(B72,Raw_Data_Collection!$B$2:$F$215,5,FALSE)</f>
        <v>N</v>
      </c>
      <c r="G72" s="3">
        <f>VLOOKUP(B72,Raw_Data_Collection!$B$2:$J$215,6,FALSE)</f>
        <v>7809894</v>
      </c>
      <c r="H72" s="5" t="s">
        <v>296</v>
      </c>
      <c r="I72" s="4">
        <v>2026.0</v>
      </c>
      <c r="J72" s="18">
        <f>VLOOKUP(B72,Raw_Data_Collection!$B$2:$J$215,9,FALSE)</f>
        <v>90000000</v>
      </c>
      <c r="K72" s="18">
        <f>VLOOKUP(B72,Real_Estate_Stats_Preferred!$A$2:$G$215,7,FALSE)</f>
        <v>90000000</v>
      </c>
      <c r="L72" s="18">
        <f t="shared" si="1"/>
        <v>4710000000</v>
      </c>
      <c r="M72" s="4">
        <v>0.37</v>
      </c>
      <c r="N72" s="4">
        <v>0.05</v>
      </c>
      <c r="O72" s="29">
        <f t="shared" si="2"/>
        <v>235500000</v>
      </c>
      <c r="P72" s="29">
        <f t="shared" si="3"/>
        <v>373809523.8</v>
      </c>
      <c r="Q72" s="29">
        <f t="shared" si="4"/>
        <v>138309523.8</v>
      </c>
      <c r="R72" s="4">
        <v>0.075</v>
      </c>
      <c r="S72" s="29">
        <f t="shared" si="5"/>
        <v>270825000</v>
      </c>
      <c r="T72" s="29">
        <f t="shared" si="6"/>
        <v>429880952.4</v>
      </c>
      <c r="U72" s="29">
        <f t="shared" si="7"/>
        <v>159055952.4</v>
      </c>
      <c r="V72" s="4">
        <v>2023.0</v>
      </c>
      <c r="W72" s="6" t="s">
        <v>297</v>
      </c>
      <c r="X72" s="6" t="s">
        <v>795</v>
      </c>
    </row>
    <row r="73" ht="14.25" customHeight="1">
      <c r="A73" s="4">
        <v>71.0</v>
      </c>
      <c r="B73" s="2" t="s">
        <v>299</v>
      </c>
      <c r="C73" s="2" t="s">
        <v>300</v>
      </c>
      <c r="D73" s="3">
        <v>4.5E9</v>
      </c>
      <c r="E73" s="2" t="s">
        <v>17</v>
      </c>
      <c r="F73" s="4" t="str">
        <f>VLOOKUP(B73,Raw_Data_Collection!$B$2:$F$215,5,FALSE)</f>
        <v>N</v>
      </c>
      <c r="G73" s="3" t="str">
        <f>VLOOKUP(B73,Raw_Data_Collection!$B$2:$J$215,6,FALSE)</f>
        <v/>
      </c>
      <c r="I73" s="4"/>
      <c r="J73" s="2" t="str">
        <f>VLOOKUP(B73,Raw_Data_Collection!$B$2:$J$215,9,FALSE)</f>
        <v/>
      </c>
      <c r="K73" s="18">
        <f>VLOOKUP(B73,Real_Estate_Stats_Preferred!$A$2:$G$215,7,FALSE)</f>
        <v>28621607.14</v>
      </c>
      <c r="L73" s="18">
        <f t="shared" si="1"/>
        <v>4471378393</v>
      </c>
      <c r="M73" s="4">
        <v>0.37</v>
      </c>
      <c r="N73" s="4">
        <v>0.05</v>
      </c>
      <c r="O73" s="29">
        <f t="shared" si="2"/>
        <v>223568919.6</v>
      </c>
      <c r="P73" s="29">
        <f t="shared" si="3"/>
        <v>354871301</v>
      </c>
      <c r="Q73" s="29">
        <f t="shared" si="4"/>
        <v>131302381.4</v>
      </c>
      <c r="R73" s="4">
        <v>0.075</v>
      </c>
      <c r="S73" s="29">
        <f t="shared" si="5"/>
        <v>257104257.6</v>
      </c>
      <c r="T73" s="29">
        <f t="shared" si="6"/>
        <v>408101996.2</v>
      </c>
      <c r="U73" s="29">
        <f t="shared" si="7"/>
        <v>150997738.6</v>
      </c>
      <c r="V73" s="4"/>
      <c r="W73" s="4"/>
      <c r="X73" s="4"/>
    </row>
    <row r="74" ht="14.25" customHeight="1">
      <c r="A74" s="4">
        <v>72.0</v>
      </c>
      <c r="B74" s="2" t="s">
        <v>301</v>
      </c>
      <c r="C74" s="2" t="s">
        <v>302</v>
      </c>
      <c r="D74" s="3">
        <v>4.4E9</v>
      </c>
      <c r="E74" s="2" t="s">
        <v>303</v>
      </c>
      <c r="F74" s="4" t="str">
        <f>VLOOKUP(B74,Raw_Data_Collection!$B$2:$F$215,5,FALSE)</f>
        <v>N</v>
      </c>
      <c r="G74" s="3" t="str">
        <f>VLOOKUP(B74,Raw_Data_Collection!$B$2:$J$215,6,FALSE)</f>
        <v/>
      </c>
      <c r="J74" s="2" t="str">
        <f>VLOOKUP(B74,Raw_Data_Collection!$B$2:$J$215,9,FALSE)</f>
        <v/>
      </c>
      <c r="K74" s="18">
        <f>VLOOKUP(B74,Real_Estate_Stats_Preferred!$A$2:$G$215,7,FALSE)</f>
        <v>27985571.43</v>
      </c>
      <c r="L74" s="18">
        <f t="shared" si="1"/>
        <v>4372014429</v>
      </c>
      <c r="M74" s="4">
        <v>0.37</v>
      </c>
      <c r="N74" s="4">
        <v>0.05</v>
      </c>
      <c r="O74" s="29">
        <f t="shared" si="2"/>
        <v>218600721.4</v>
      </c>
      <c r="P74" s="29">
        <f t="shared" si="3"/>
        <v>346985272.1</v>
      </c>
      <c r="Q74" s="29">
        <f t="shared" si="4"/>
        <v>128384550.7</v>
      </c>
      <c r="R74" s="4">
        <v>0.075</v>
      </c>
      <c r="S74" s="29">
        <f t="shared" si="5"/>
        <v>251390829.6</v>
      </c>
      <c r="T74" s="29">
        <f t="shared" si="6"/>
        <v>399033062.9</v>
      </c>
      <c r="U74" s="29">
        <f t="shared" si="7"/>
        <v>147642233.3</v>
      </c>
    </row>
    <row r="75" ht="14.25" customHeight="1">
      <c r="A75" s="4">
        <v>73.0</v>
      </c>
      <c r="B75" s="2" t="s">
        <v>304</v>
      </c>
      <c r="C75" s="2" t="s">
        <v>302</v>
      </c>
      <c r="D75" s="3">
        <v>4.4E9</v>
      </c>
      <c r="E75" s="2" t="s">
        <v>47</v>
      </c>
      <c r="F75" s="4" t="str">
        <f>VLOOKUP(B75,Raw_Data_Collection!$B$2:$F$215,5,FALSE)</f>
        <v>N</v>
      </c>
      <c r="G75" s="3">
        <f>VLOOKUP(B75,Raw_Data_Collection!$B$2:$J$215,6,FALSE)</f>
        <v>195000000</v>
      </c>
      <c r="H75" s="5" t="s">
        <v>305</v>
      </c>
      <c r="I75" s="4">
        <v>2024.0</v>
      </c>
      <c r="J75" s="18">
        <f>VLOOKUP(B75,Raw_Data_Collection!$B$2:$J$215,9,FALSE)</f>
        <v>195000000</v>
      </c>
      <c r="K75" s="18">
        <f>VLOOKUP(B75,Real_Estate_Stats_Preferred!$A$2:$G$215,7,FALSE)</f>
        <v>195000000</v>
      </c>
      <c r="L75" s="18">
        <f t="shared" si="1"/>
        <v>4205000000</v>
      </c>
      <c r="M75" s="4">
        <v>0.37</v>
      </c>
      <c r="N75" s="4">
        <v>0.05</v>
      </c>
      <c r="O75" s="29">
        <f t="shared" si="2"/>
        <v>210250000</v>
      </c>
      <c r="P75" s="29">
        <f t="shared" si="3"/>
        <v>333730158.7</v>
      </c>
      <c r="Q75" s="29">
        <f t="shared" si="4"/>
        <v>123480158.7</v>
      </c>
      <c r="R75" s="4">
        <v>0.075</v>
      </c>
      <c r="S75" s="29">
        <f t="shared" si="5"/>
        <v>241787500</v>
      </c>
      <c r="T75" s="29">
        <f t="shared" si="6"/>
        <v>383789682.5</v>
      </c>
      <c r="U75" s="29">
        <f t="shared" si="7"/>
        <v>142002182.5</v>
      </c>
      <c r="V75" s="4">
        <v>2024.0</v>
      </c>
      <c r="W75" s="5" t="s">
        <v>305</v>
      </c>
    </row>
    <row r="76" ht="14.25" customHeight="1">
      <c r="A76" s="4">
        <v>74.0</v>
      </c>
      <c r="B76" s="2" t="s">
        <v>306</v>
      </c>
      <c r="C76" s="2" t="s">
        <v>307</v>
      </c>
      <c r="D76" s="3">
        <v>4.3E9</v>
      </c>
      <c r="E76" s="2" t="s">
        <v>308</v>
      </c>
      <c r="F76" s="4" t="str">
        <f>VLOOKUP(B76,Raw_Data_Collection!$B$2:$F$215,5,FALSE)</f>
        <v>N</v>
      </c>
      <c r="G76" s="3" t="str">
        <f>VLOOKUP(B76,Raw_Data_Collection!$B$2:$J$215,6,FALSE)</f>
        <v/>
      </c>
      <c r="J76" s="2" t="str">
        <f>VLOOKUP(B76,Raw_Data_Collection!$B$2:$J$215,9,FALSE)</f>
        <v/>
      </c>
      <c r="K76" s="18">
        <f>VLOOKUP(B76,Real_Estate_Stats_Preferred!$A$2:$G$215,7,FALSE)</f>
        <v>27349535.71</v>
      </c>
      <c r="L76" s="18">
        <f t="shared" si="1"/>
        <v>4272650464</v>
      </c>
      <c r="M76" s="4">
        <v>0.37</v>
      </c>
      <c r="N76" s="4">
        <v>0.05</v>
      </c>
      <c r="O76" s="29">
        <f t="shared" si="2"/>
        <v>213632523.2</v>
      </c>
      <c r="P76" s="29">
        <f t="shared" si="3"/>
        <v>339099243.2</v>
      </c>
      <c r="Q76" s="29">
        <f t="shared" si="4"/>
        <v>125466720</v>
      </c>
      <c r="R76" s="4">
        <v>0.075</v>
      </c>
      <c r="S76" s="29">
        <f t="shared" si="5"/>
        <v>245677401.7</v>
      </c>
      <c r="T76" s="29">
        <f t="shared" si="6"/>
        <v>389964129.7</v>
      </c>
      <c r="U76" s="29">
        <f t="shared" si="7"/>
        <v>144286728</v>
      </c>
    </row>
    <row r="77" ht="14.25" customHeight="1">
      <c r="A77" s="4">
        <v>75.0</v>
      </c>
      <c r="B77" s="2" t="s">
        <v>309</v>
      </c>
      <c r="C77" s="2" t="s">
        <v>307</v>
      </c>
      <c r="D77" s="3">
        <v>4.3E9</v>
      </c>
      <c r="E77" s="2" t="s">
        <v>80</v>
      </c>
      <c r="F77" s="4" t="str">
        <f>VLOOKUP(B77,Raw_Data_Collection!$B$2:$F$215,5,FALSE)</f>
        <v>N</v>
      </c>
      <c r="G77" s="3">
        <f>VLOOKUP(B77,Raw_Data_Collection!$B$2:$J$215,6,FALSE)</f>
        <v>11443465</v>
      </c>
      <c r="H77" s="5" t="s">
        <v>310</v>
      </c>
      <c r="I77" s="4">
        <v>2026.0</v>
      </c>
      <c r="J77" s="18">
        <f>VLOOKUP(B77,Raw_Data_Collection!$B$2:$J$215,9,FALSE)</f>
        <v>29825465</v>
      </c>
      <c r="K77" s="18">
        <f>VLOOKUP(B77,Real_Estate_Stats_Preferred!$A$2:$G$215,7,FALSE)</f>
        <v>29825465</v>
      </c>
      <c r="L77" s="18">
        <f t="shared" si="1"/>
        <v>4270174535</v>
      </c>
      <c r="M77" s="4">
        <v>0.37</v>
      </c>
      <c r="N77" s="4">
        <v>0.05</v>
      </c>
      <c r="O77" s="29">
        <f t="shared" si="2"/>
        <v>213508726.8</v>
      </c>
      <c r="P77" s="29">
        <f t="shared" si="3"/>
        <v>338902740.9</v>
      </c>
      <c r="Q77" s="29">
        <f t="shared" si="4"/>
        <v>125394014.1</v>
      </c>
      <c r="R77" s="4">
        <v>0.075</v>
      </c>
      <c r="S77" s="29">
        <f t="shared" si="5"/>
        <v>245535035.8</v>
      </c>
      <c r="T77" s="29">
        <f t="shared" si="6"/>
        <v>389738152</v>
      </c>
      <c r="U77" s="29">
        <f t="shared" si="7"/>
        <v>144203116.2</v>
      </c>
      <c r="V77" s="4" t="s">
        <v>311</v>
      </c>
      <c r="W77" s="7" t="s">
        <v>796</v>
      </c>
      <c r="X77" s="7" t="s">
        <v>797</v>
      </c>
    </row>
    <row r="78" ht="14.25" customHeight="1">
      <c r="A78" s="4">
        <v>76.0</v>
      </c>
      <c r="B78" s="2" t="s">
        <v>314</v>
      </c>
      <c r="C78" s="2" t="s">
        <v>315</v>
      </c>
      <c r="D78" s="3">
        <v>4.1E9</v>
      </c>
      <c r="E78" s="2" t="s">
        <v>100</v>
      </c>
      <c r="F78" s="4" t="str">
        <f>VLOOKUP(B78,Raw_Data_Collection!$B$2:$F$215,5,FALSE)</f>
        <v>N</v>
      </c>
      <c r="G78" s="3" t="str">
        <f>VLOOKUP(B78,Raw_Data_Collection!$B$2:$J$215,6,FALSE)</f>
        <v/>
      </c>
      <c r="J78" s="2" t="str">
        <f>VLOOKUP(B78,Raw_Data_Collection!$B$2:$J$215,9,FALSE)</f>
        <v/>
      </c>
      <c r="K78" s="18">
        <f>VLOOKUP(B78,Real_Estate_Stats_Preferred!$A$2:$G$215,7,FALSE)</f>
        <v>26077464.29</v>
      </c>
      <c r="L78" s="18">
        <f t="shared" si="1"/>
        <v>4073922536</v>
      </c>
      <c r="M78" s="4">
        <v>0.37</v>
      </c>
      <c r="N78" s="4">
        <v>0.05</v>
      </c>
      <c r="O78" s="29">
        <f t="shared" si="2"/>
        <v>203696126.8</v>
      </c>
      <c r="P78" s="29">
        <f t="shared" si="3"/>
        <v>323327185.4</v>
      </c>
      <c r="Q78" s="29">
        <f t="shared" si="4"/>
        <v>119631058.6</v>
      </c>
      <c r="R78" s="4">
        <v>0.075</v>
      </c>
      <c r="S78" s="29">
        <f t="shared" si="5"/>
        <v>234250545.8</v>
      </c>
      <c r="T78" s="29">
        <f t="shared" si="6"/>
        <v>371826263.2</v>
      </c>
      <c r="U78" s="29">
        <f t="shared" si="7"/>
        <v>137575717.4</v>
      </c>
    </row>
    <row r="79" ht="14.25" customHeight="1">
      <c r="A79" s="4">
        <v>77.0</v>
      </c>
      <c r="B79" s="2" t="s">
        <v>316</v>
      </c>
      <c r="C79" s="2" t="s">
        <v>317</v>
      </c>
      <c r="D79" s="3">
        <v>4.0E9</v>
      </c>
      <c r="E79" s="2" t="s">
        <v>24</v>
      </c>
      <c r="F79" s="4" t="str">
        <f>VLOOKUP(B79,Raw_Data_Collection!$B$2:$F$215,5,FALSE)</f>
        <v>N</v>
      </c>
      <c r="G79" s="3" t="str">
        <f>VLOOKUP(B79,Raw_Data_Collection!$B$2:$J$215,6,FALSE)</f>
        <v/>
      </c>
      <c r="J79" s="2" t="str">
        <f>VLOOKUP(B79,Raw_Data_Collection!$B$2:$J$215,9,FALSE)</f>
        <v/>
      </c>
      <c r="K79" s="18">
        <f>VLOOKUP(B79,Real_Estate_Stats_Preferred!$A$2:$G$215,7,FALSE)</f>
        <v>25441428.57</v>
      </c>
      <c r="L79" s="18">
        <f t="shared" si="1"/>
        <v>3974558571</v>
      </c>
      <c r="M79" s="4">
        <v>0.37</v>
      </c>
      <c r="N79" s="4">
        <v>0.05</v>
      </c>
      <c r="O79" s="29">
        <f t="shared" si="2"/>
        <v>198727928.6</v>
      </c>
      <c r="P79" s="29">
        <f t="shared" si="3"/>
        <v>315441156.5</v>
      </c>
      <c r="Q79" s="29">
        <f t="shared" si="4"/>
        <v>116713227.9</v>
      </c>
      <c r="R79" s="4">
        <v>0.075</v>
      </c>
      <c r="S79" s="29">
        <f t="shared" si="5"/>
        <v>228537117.9</v>
      </c>
      <c r="T79" s="29">
        <f t="shared" si="6"/>
        <v>362757329.9</v>
      </c>
      <c r="U79" s="29">
        <f t="shared" si="7"/>
        <v>134220212.1</v>
      </c>
    </row>
    <row r="80" ht="14.25" customHeight="1">
      <c r="A80" s="4">
        <v>78.0</v>
      </c>
      <c r="B80" s="2" t="s">
        <v>319</v>
      </c>
      <c r="C80" s="2" t="s">
        <v>317</v>
      </c>
      <c r="D80" s="3">
        <v>4.0E9</v>
      </c>
      <c r="E80" s="2" t="s">
        <v>100</v>
      </c>
      <c r="F80" s="4" t="str">
        <f>VLOOKUP(B80,Raw_Data_Collection!$B$2:$F$215,5,FALSE)</f>
        <v>N</v>
      </c>
      <c r="G80" s="3" t="str">
        <f>VLOOKUP(B80,Raw_Data_Collection!$B$2:$J$215,6,FALSE)</f>
        <v/>
      </c>
      <c r="J80" s="2" t="str">
        <f>VLOOKUP(B80,Raw_Data_Collection!$B$2:$J$215,9,FALSE)</f>
        <v/>
      </c>
      <c r="K80" s="18">
        <f>VLOOKUP(B80,Real_Estate_Stats_Preferred!$A$2:$G$215,7,FALSE)</f>
        <v>25441428.57</v>
      </c>
      <c r="L80" s="18">
        <f t="shared" si="1"/>
        <v>3974558571</v>
      </c>
      <c r="M80" s="4">
        <v>0.37</v>
      </c>
      <c r="N80" s="4">
        <v>0.05</v>
      </c>
      <c r="O80" s="29">
        <f t="shared" si="2"/>
        <v>198727928.6</v>
      </c>
      <c r="P80" s="29">
        <f t="shared" si="3"/>
        <v>315441156.5</v>
      </c>
      <c r="Q80" s="29">
        <f t="shared" si="4"/>
        <v>116713227.9</v>
      </c>
      <c r="R80" s="4">
        <v>0.075</v>
      </c>
      <c r="S80" s="29">
        <f t="shared" si="5"/>
        <v>228537117.9</v>
      </c>
      <c r="T80" s="29">
        <f t="shared" si="6"/>
        <v>362757329.9</v>
      </c>
      <c r="U80" s="29">
        <f t="shared" si="7"/>
        <v>134220212.1</v>
      </c>
    </row>
    <row r="81" ht="14.25" customHeight="1">
      <c r="A81" s="4">
        <v>79.0</v>
      </c>
      <c r="B81" s="2" t="s">
        <v>320</v>
      </c>
      <c r="C81" s="2" t="s">
        <v>321</v>
      </c>
      <c r="D81" s="3">
        <v>3.8E9</v>
      </c>
      <c r="E81" s="2" t="s">
        <v>47</v>
      </c>
      <c r="F81" s="4" t="str">
        <f>VLOOKUP(B81,Raw_Data_Collection!$B$2:$F$215,5,FALSE)</f>
        <v>N</v>
      </c>
      <c r="G81" s="3">
        <f>VLOOKUP(B81,Raw_Data_Collection!$B$2:$J$215,6,FALSE)</f>
        <v>50000000</v>
      </c>
      <c r="H81" s="8" t="s">
        <v>322</v>
      </c>
      <c r="I81" s="4">
        <v>2023.0</v>
      </c>
      <c r="J81" s="18">
        <f>VLOOKUP(B81,Raw_Data_Collection!$B$2:$J$215,9,FALSE)</f>
        <v>50000000</v>
      </c>
      <c r="K81" s="18">
        <f>VLOOKUP(B81,Real_Estate_Stats_Preferred!$A$2:$G$215,7,FALSE)</f>
        <v>50000000</v>
      </c>
      <c r="L81" s="18">
        <f t="shared" si="1"/>
        <v>3750000000</v>
      </c>
      <c r="M81" s="4">
        <v>0.37</v>
      </c>
      <c r="N81" s="4">
        <v>0.05</v>
      </c>
      <c r="O81" s="29">
        <f t="shared" si="2"/>
        <v>187500000</v>
      </c>
      <c r="P81" s="29">
        <f t="shared" si="3"/>
        <v>297619047.6</v>
      </c>
      <c r="Q81" s="29">
        <f t="shared" si="4"/>
        <v>110119047.6</v>
      </c>
      <c r="R81" s="4">
        <v>0.075</v>
      </c>
      <c r="S81" s="29">
        <f t="shared" si="5"/>
        <v>215625000</v>
      </c>
      <c r="T81" s="29">
        <f t="shared" si="6"/>
        <v>342261904.8</v>
      </c>
      <c r="U81" s="29">
        <f t="shared" si="7"/>
        <v>126636904.8</v>
      </c>
      <c r="V81" s="4">
        <v>2023.0</v>
      </c>
      <c r="W81" s="8" t="s">
        <v>322</v>
      </c>
    </row>
    <row r="82" ht="14.25" customHeight="1">
      <c r="A82" s="4">
        <v>80.0</v>
      </c>
      <c r="B82" s="2" t="s">
        <v>323</v>
      </c>
      <c r="C82" s="2" t="s">
        <v>321</v>
      </c>
      <c r="D82" s="3">
        <v>3.8E9</v>
      </c>
      <c r="E82" s="2" t="s">
        <v>47</v>
      </c>
      <c r="F82" s="4" t="str">
        <f>VLOOKUP(B82,Raw_Data_Collection!$B$2:$F$215,5,FALSE)</f>
        <v>N</v>
      </c>
      <c r="G82" s="3">
        <f>VLOOKUP(B82,Raw_Data_Collection!$B$2:$J$215,6,FALSE)</f>
        <v>6500000</v>
      </c>
      <c r="H82" s="5" t="s">
        <v>324</v>
      </c>
      <c r="I82" s="4">
        <v>2020.0</v>
      </c>
      <c r="J82" s="18">
        <f>VLOOKUP(B82,Raw_Data_Collection!$B$2:$J$215,9,FALSE)</f>
        <v>6500000</v>
      </c>
      <c r="K82" s="18">
        <f>VLOOKUP(B82,Real_Estate_Stats_Preferred!$A$2:$G$215,7,FALSE)</f>
        <v>6500000</v>
      </c>
      <c r="L82" s="18">
        <f t="shared" si="1"/>
        <v>3793500000</v>
      </c>
      <c r="M82" s="4">
        <v>0.37</v>
      </c>
      <c r="N82" s="4">
        <v>0.05</v>
      </c>
      <c r="O82" s="29">
        <f t="shared" si="2"/>
        <v>189675000</v>
      </c>
      <c r="P82" s="29">
        <f t="shared" si="3"/>
        <v>301071428.6</v>
      </c>
      <c r="Q82" s="29">
        <f t="shared" si="4"/>
        <v>111396428.6</v>
      </c>
      <c r="R82" s="4">
        <v>0.075</v>
      </c>
      <c r="S82" s="29">
        <f t="shared" si="5"/>
        <v>218126250</v>
      </c>
      <c r="T82" s="29">
        <f t="shared" si="6"/>
        <v>346232142.9</v>
      </c>
      <c r="U82" s="29">
        <f t="shared" si="7"/>
        <v>128105892.9</v>
      </c>
      <c r="V82" s="4">
        <v>2020.0</v>
      </c>
      <c r="W82" s="5" t="s">
        <v>324</v>
      </c>
      <c r="X82" s="4" t="s">
        <v>325</v>
      </c>
    </row>
    <row r="83" ht="14.25" customHeight="1">
      <c r="A83" s="4">
        <v>81.0</v>
      </c>
      <c r="B83" s="2" t="s">
        <v>326</v>
      </c>
      <c r="C83" s="2" t="s">
        <v>321</v>
      </c>
      <c r="D83" s="3">
        <v>3.8E9</v>
      </c>
      <c r="E83" s="2" t="s">
        <v>47</v>
      </c>
      <c r="F83" s="4" t="str">
        <f>VLOOKUP(B83,Raw_Data_Collection!$B$2:$F$215,5,FALSE)</f>
        <v>N</v>
      </c>
      <c r="G83" s="3">
        <f>VLOOKUP(B83,Raw_Data_Collection!$B$2:$J$215,6,FALSE)</f>
        <v>21000000</v>
      </c>
      <c r="H83" s="5" t="s">
        <v>327</v>
      </c>
      <c r="I83" s="4">
        <v>2020.0</v>
      </c>
      <c r="J83" s="2" t="str">
        <f>VLOOKUP(B83,Raw_Data_Collection!$B$2:$J$215,9,FALSE)</f>
        <v/>
      </c>
      <c r="K83" s="18">
        <f>VLOOKUP(B83,Real_Estate_Stats_Preferred!$A$2:$G$215,7,FALSE)</f>
        <v>21000000</v>
      </c>
      <c r="L83" s="18">
        <f t="shared" si="1"/>
        <v>3779000000</v>
      </c>
      <c r="M83" s="4">
        <v>0.37</v>
      </c>
      <c r="N83" s="4">
        <v>0.05</v>
      </c>
      <c r="O83" s="29">
        <f t="shared" si="2"/>
        <v>188950000</v>
      </c>
      <c r="P83" s="29">
        <f t="shared" si="3"/>
        <v>299920634.9</v>
      </c>
      <c r="Q83" s="29">
        <f t="shared" si="4"/>
        <v>110970634.9</v>
      </c>
      <c r="R83" s="4">
        <v>0.075</v>
      </c>
      <c r="S83" s="29">
        <f t="shared" si="5"/>
        <v>217292500</v>
      </c>
      <c r="T83" s="29">
        <f t="shared" si="6"/>
        <v>344908730.2</v>
      </c>
      <c r="U83" s="29">
        <f t="shared" si="7"/>
        <v>127616230.2</v>
      </c>
      <c r="V83" s="4"/>
      <c r="W83" s="4"/>
    </row>
    <row r="84" ht="14.25" customHeight="1">
      <c r="A84" s="4">
        <v>82.0</v>
      </c>
      <c r="B84" s="2" t="s">
        <v>328</v>
      </c>
      <c r="C84" s="2" t="s">
        <v>321</v>
      </c>
      <c r="D84" s="3">
        <v>3.8E9</v>
      </c>
      <c r="E84" s="2" t="s">
        <v>329</v>
      </c>
      <c r="F84" s="4" t="str">
        <f>VLOOKUP(B84,Raw_Data_Collection!$B$2:$F$215,5,FALSE)</f>
        <v>N</v>
      </c>
      <c r="G84" s="3">
        <f>VLOOKUP(B84,Raw_Data_Collection!$B$2:$J$215,6,FALSE)</f>
        <v>1977425</v>
      </c>
      <c r="H84" s="5" t="s">
        <v>330</v>
      </c>
      <c r="I84" s="4">
        <v>2026.0</v>
      </c>
      <c r="J84" s="2" t="str">
        <f>VLOOKUP(B84,Raw_Data_Collection!$B$2:$J$215,9,FALSE)</f>
        <v/>
      </c>
      <c r="K84" s="18">
        <f>VLOOKUP(B84,Real_Estate_Stats_Preferred!$A$2:$G$215,7,FALSE)</f>
        <v>1977425</v>
      </c>
      <c r="L84" s="18">
        <f t="shared" si="1"/>
        <v>3798022575</v>
      </c>
      <c r="M84" s="4">
        <v>0.37</v>
      </c>
      <c r="N84" s="4">
        <v>0.05</v>
      </c>
      <c r="O84" s="29">
        <f t="shared" si="2"/>
        <v>189901128.8</v>
      </c>
      <c r="P84" s="29">
        <f t="shared" si="3"/>
        <v>301430363.1</v>
      </c>
      <c r="Q84" s="29">
        <f t="shared" si="4"/>
        <v>111529234.3</v>
      </c>
      <c r="R84" s="4">
        <v>0.075</v>
      </c>
      <c r="S84" s="29">
        <f t="shared" si="5"/>
        <v>218386298.1</v>
      </c>
      <c r="T84" s="29">
        <f t="shared" si="6"/>
        <v>346644917.6</v>
      </c>
      <c r="U84" s="29">
        <f t="shared" si="7"/>
        <v>128258619.5</v>
      </c>
      <c r="V84" s="4"/>
      <c r="W84" s="4"/>
      <c r="X84" s="7" t="s">
        <v>798</v>
      </c>
    </row>
    <row r="85" ht="14.25" customHeight="1">
      <c r="A85" s="4">
        <v>83.0</v>
      </c>
      <c r="B85" s="2" t="s">
        <v>332</v>
      </c>
      <c r="C85" s="2" t="s">
        <v>333</v>
      </c>
      <c r="D85" s="3">
        <v>3.7E9</v>
      </c>
      <c r="E85" s="2" t="s">
        <v>100</v>
      </c>
      <c r="F85" s="4" t="str">
        <f>VLOOKUP(B85,Raw_Data_Collection!$B$2:$F$215,5,FALSE)</f>
        <v>N</v>
      </c>
      <c r="G85" s="3">
        <f>VLOOKUP(B85,Raw_Data_Collection!$B$2:$J$215,6,FALSE)</f>
        <v>29250000</v>
      </c>
      <c r="J85" s="2" t="str">
        <f>VLOOKUP(B85,Raw_Data_Collection!$B$2:$J$215,9,FALSE)</f>
        <v/>
      </c>
      <c r="K85" s="18">
        <f>VLOOKUP(B85,Real_Estate_Stats_Preferred!$A$2:$G$215,7,FALSE)</f>
        <v>29250000</v>
      </c>
      <c r="L85" s="18">
        <f t="shared" si="1"/>
        <v>3670750000</v>
      </c>
      <c r="M85" s="4">
        <v>0.37</v>
      </c>
      <c r="N85" s="4">
        <v>0.05</v>
      </c>
      <c r="O85" s="29">
        <f t="shared" si="2"/>
        <v>183537500</v>
      </c>
      <c r="P85" s="29">
        <f t="shared" si="3"/>
        <v>291329365.1</v>
      </c>
      <c r="Q85" s="29">
        <f t="shared" si="4"/>
        <v>107791865.1</v>
      </c>
      <c r="R85" s="4">
        <v>0.075</v>
      </c>
      <c r="S85" s="29">
        <f t="shared" si="5"/>
        <v>211068125</v>
      </c>
      <c r="T85" s="29">
        <f t="shared" si="6"/>
        <v>335028769.8</v>
      </c>
      <c r="U85" s="29">
        <f t="shared" si="7"/>
        <v>123960644.8</v>
      </c>
    </row>
    <row r="86" ht="14.25" customHeight="1">
      <c r="A86" s="4">
        <v>84.0</v>
      </c>
      <c r="B86" s="2" t="s">
        <v>336</v>
      </c>
      <c r="C86" s="2" t="s">
        <v>333</v>
      </c>
      <c r="D86" s="3">
        <v>3.7E9</v>
      </c>
      <c r="E86" s="2" t="s">
        <v>47</v>
      </c>
      <c r="F86" s="4" t="str">
        <f>VLOOKUP(B86,Raw_Data_Collection!$B$2:$F$215,5,FALSE)</f>
        <v>N</v>
      </c>
      <c r="G86" s="3">
        <f>VLOOKUP(B86,Raw_Data_Collection!$B$2:$J$215,6,FALSE)</f>
        <v>30000000</v>
      </c>
      <c r="H86" s="5" t="s">
        <v>337</v>
      </c>
      <c r="I86" s="4">
        <v>2017.0</v>
      </c>
      <c r="J86" s="2" t="str">
        <f>VLOOKUP(B86,Raw_Data_Collection!$B$2:$J$215,9,FALSE)</f>
        <v/>
      </c>
      <c r="K86" s="18">
        <f>VLOOKUP(B86,Real_Estate_Stats_Preferred!$A$2:$G$215,7,FALSE)</f>
        <v>30000000</v>
      </c>
      <c r="L86" s="18">
        <f t="shared" si="1"/>
        <v>3670000000</v>
      </c>
      <c r="M86" s="4">
        <v>0.37</v>
      </c>
      <c r="N86" s="4">
        <v>0.05</v>
      </c>
      <c r="O86" s="29">
        <f t="shared" si="2"/>
        <v>183500000</v>
      </c>
      <c r="P86" s="29">
        <f t="shared" si="3"/>
        <v>291269841.3</v>
      </c>
      <c r="Q86" s="29">
        <f t="shared" si="4"/>
        <v>107769841.3</v>
      </c>
      <c r="R86" s="4">
        <v>0.075</v>
      </c>
      <c r="S86" s="29">
        <f t="shared" si="5"/>
        <v>211025000</v>
      </c>
      <c r="T86" s="29">
        <f t="shared" si="6"/>
        <v>334960317.5</v>
      </c>
      <c r="U86" s="29">
        <f t="shared" si="7"/>
        <v>123935317.5</v>
      </c>
      <c r="V86" s="4"/>
      <c r="W86" s="4"/>
    </row>
    <row r="87" ht="14.25" customHeight="1">
      <c r="A87" s="4">
        <v>85.0</v>
      </c>
      <c r="B87" s="2" t="s">
        <v>338</v>
      </c>
      <c r="C87" s="2" t="s">
        <v>333</v>
      </c>
      <c r="D87" s="3">
        <v>3.7E9</v>
      </c>
      <c r="E87" s="2" t="s">
        <v>339</v>
      </c>
      <c r="F87" s="4" t="str">
        <f>VLOOKUP(B87,Raw_Data_Collection!$B$2:$F$215,5,FALSE)</f>
        <v>N</v>
      </c>
      <c r="G87" s="3" t="str">
        <f>VLOOKUP(B87,Raw_Data_Collection!$B$2:$J$215,6,FALSE)</f>
        <v/>
      </c>
      <c r="J87" s="2" t="str">
        <f>VLOOKUP(B87,Raw_Data_Collection!$B$2:$J$215,9,FALSE)</f>
        <v/>
      </c>
      <c r="K87" s="18">
        <f>VLOOKUP(B87,Real_Estate_Stats_Preferred!$A$2:$G$215,7,FALSE)</f>
        <v>23533321.43</v>
      </c>
      <c r="L87" s="18">
        <f t="shared" si="1"/>
        <v>3676466679</v>
      </c>
      <c r="M87" s="4">
        <v>0.37</v>
      </c>
      <c r="N87" s="4">
        <v>0.05</v>
      </c>
      <c r="O87" s="29">
        <f t="shared" si="2"/>
        <v>183823333.9</v>
      </c>
      <c r="P87" s="29">
        <f t="shared" si="3"/>
        <v>291783069.7</v>
      </c>
      <c r="Q87" s="29">
        <f t="shared" si="4"/>
        <v>107959735.8</v>
      </c>
      <c r="R87" s="4">
        <v>0.075</v>
      </c>
      <c r="S87" s="29">
        <f t="shared" si="5"/>
        <v>211396834</v>
      </c>
      <c r="T87" s="29">
        <f t="shared" si="6"/>
        <v>335550530.2</v>
      </c>
      <c r="U87" s="29">
        <f t="shared" si="7"/>
        <v>124153696.2</v>
      </c>
    </row>
    <row r="88" ht="14.25" customHeight="1">
      <c r="A88" s="4">
        <v>86.0</v>
      </c>
      <c r="B88" s="2" t="s">
        <v>340</v>
      </c>
      <c r="C88" s="2" t="s">
        <v>333</v>
      </c>
      <c r="D88" s="3">
        <v>3.7E9</v>
      </c>
      <c r="E88" s="2" t="s">
        <v>100</v>
      </c>
      <c r="F88" s="4" t="str">
        <f>VLOOKUP(B88,Raw_Data_Collection!$B$2:$F$215,5,FALSE)</f>
        <v>N</v>
      </c>
      <c r="G88" s="3" t="str">
        <f>VLOOKUP(B88,Raw_Data_Collection!$B$2:$J$215,6,FALSE)</f>
        <v/>
      </c>
      <c r="J88" s="2" t="str">
        <f>VLOOKUP(B88,Raw_Data_Collection!$B$2:$J$215,9,FALSE)</f>
        <v/>
      </c>
      <c r="K88" s="18">
        <f>VLOOKUP(B88,Real_Estate_Stats_Preferred!$A$2:$G$215,7,FALSE)</f>
        <v>23533321.43</v>
      </c>
      <c r="L88" s="18">
        <f t="shared" si="1"/>
        <v>3676466679</v>
      </c>
      <c r="M88" s="4">
        <v>0.37</v>
      </c>
      <c r="N88" s="4">
        <v>0.05</v>
      </c>
      <c r="O88" s="29">
        <f t="shared" si="2"/>
        <v>183823333.9</v>
      </c>
      <c r="P88" s="29">
        <f t="shared" si="3"/>
        <v>291783069.7</v>
      </c>
      <c r="Q88" s="29">
        <f t="shared" si="4"/>
        <v>107959735.8</v>
      </c>
      <c r="R88" s="4">
        <v>0.075</v>
      </c>
      <c r="S88" s="29">
        <f t="shared" si="5"/>
        <v>211396834</v>
      </c>
      <c r="T88" s="29">
        <f t="shared" si="6"/>
        <v>335550530.2</v>
      </c>
      <c r="U88" s="29">
        <f t="shared" si="7"/>
        <v>124153696.2</v>
      </c>
    </row>
    <row r="89" ht="14.25" customHeight="1">
      <c r="A89" s="4">
        <v>87.0</v>
      </c>
      <c r="B89" s="2" t="s">
        <v>341</v>
      </c>
      <c r="C89" s="2" t="s">
        <v>333</v>
      </c>
      <c r="D89" s="3">
        <v>3.7E9</v>
      </c>
      <c r="E89" s="2" t="s">
        <v>100</v>
      </c>
      <c r="F89" s="4" t="str">
        <f>VLOOKUP(B89,Raw_Data_Collection!$B$2:$F$215,5,FALSE)</f>
        <v>N</v>
      </c>
      <c r="G89" s="3">
        <f>VLOOKUP(B89,Raw_Data_Collection!$B$2:$J$215,6,FALSE)</f>
        <v>2572000</v>
      </c>
      <c r="J89" s="2" t="str">
        <f>VLOOKUP(B89,Raw_Data_Collection!$B$2:$J$215,9,FALSE)</f>
        <v/>
      </c>
      <c r="K89" s="18">
        <f>VLOOKUP(B89,Real_Estate_Stats_Preferred!$A$2:$G$215,7,FALSE)</f>
        <v>2572000</v>
      </c>
      <c r="L89" s="18">
        <f t="shared" si="1"/>
        <v>3697428000</v>
      </c>
      <c r="M89" s="4">
        <v>0.37</v>
      </c>
      <c r="N89" s="4">
        <v>0.05</v>
      </c>
      <c r="O89" s="29">
        <f t="shared" si="2"/>
        <v>184871400</v>
      </c>
      <c r="P89" s="29">
        <f t="shared" si="3"/>
        <v>293446666.7</v>
      </c>
      <c r="Q89" s="29">
        <f t="shared" si="4"/>
        <v>108575266.7</v>
      </c>
      <c r="R89" s="4">
        <v>0.075</v>
      </c>
      <c r="S89" s="29">
        <f t="shared" si="5"/>
        <v>212602110</v>
      </c>
      <c r="T89" s="29">
        <f t="shared" si="6"/>
        <v>337463666.7</v>
      </c>
      <c r="U89" s="29">
        <f t="shared" si="7"/>
        <v>124861556.7</v>
      </c>
    </row>
    <row r="90" ht="14.25" customHeight="1">
      <c r="A90" s="4">
        <v>88.0</v>
      </c>
      <c r="B90" s="2" t="s">
        <v>344</v>
      </c>
      <c r="C90" s="2" t="s">
        <v>333</v>
      </c>
      <c r="D90" s="3">
        <v>3.7E9</v>
      </c>
      <c r="E90" s="2" t="s">
        <v>100</v>
      </c>
      <c r="F90" s="4" t="str">
        <f>VLOOKUP(B90,Raw_Data_Collection!$B$2:$F$215,5,FALSE)</f>
        <v>N</v>
      </c>
      <c r="G90" s="3" t="str">
        <f>VLOOKUP(B90,Raw_Data_Collection!$B$2:$J$215,6,FALSE)</f>
        <v/>
      </c>
      <c r="J90" s="2" t="str">
        <f>VLOOKUP(B90,Raw_Data_Collection!$B$2:$J$215,9,FALSE)</f>
        <v/>
      </c>
      <c r="K90" s="18">
        <f>VLOOKUP(B90,Real_Estate_Stats_Preferred!$A$2:$G$215,7,FALSE)</f>
        <v>23533321.43</v>
      </c>
      <c r="L90" s="18">
        <f t="shared" si="1"/>
        <v>3676466679</v>
      </c>
      <c r="M90" s="4">
        <v>0.37</v>
      </c>
      <c r="N90" s="4">
        <v>0.05</v>
      </c>
      <c r="O90" s="29">
        <f t="shared" si="2"/>
        <v>183823333.9</v>
      </c>
      <c r="P90" s="29">
        <f t="shared" si="3"/>
        <v>291783069.7</v>
      </c>
      <c r="Q90" s="29">
        <f t="shared" si="4"/>
        <v>107959735.8</v>
      </c>
      <c r="R90" s="4">
        <v>0.075</v>
      </c>
      <c r="S90" s="29">
        <f t="shared" si="5"/>
        <v>211396834</v>
      </c>
      <c r="T90" s="29">
        <f t="shared" si="6"/>
        <v>335550530.2</v>
      </c>
      <c r="U90" s="29">
        <f t="shared" si="7"/>
        <v>124153696.2</v>
      </c>
    </row>
    <row r="91" ht="14.25" customHeight="1">
      <c r="A91" s="4">
        <v>89.0</v>
      </c>
      <c r="B91" s="2" t="s">
        <v>345</v>
      </c>
      <c r="C91" s="2" t="s">
        <v>333</v>
      </c>
      <c r="D91" s="3">
        <v>3.7E9</v>
      </c>
      <c r="E91" s="2" t="s">
        <v>100</v>
      </c>
      <c r="F91" s="4" t="str">
        <f>VLOOKUP(B91,Raw_Data_Collection!$B$2:$F$215,5,FALSE)</f>
        <v>N</v>
      </c>
      <c r="G91" s="3">
        <f>VLOOKUP(B91,Raw_Data_Collection!$B$2:$J$215,6,FALSE)</f>
        <v>4831145</v>
      </c>
      <c r="J91" s="2" t="str">
        <f>VLOOKUP(B91,Raw_Data_Collection!$B$2:$J$215,9,FALSE)</f>
        <v/>
      </c>
      <c r="K91" s="18">
        <f>VLOOKUP(B91,Real_Estate_Stats_Preferred!$A$2:$G$215,7,FALSE)</f>
        <v>4831145</v>
      </c>
      <c r="L91" s="18">
        <f t="shared" si="1"/>
        <v>3695168855</v>
      </c>
      <c r="M91" s="4">
        <v>0.37</v>
      </c>
      <c r="N91" s="4">
        <v>0.05</v>
      </c>
      <c r="O91" s="29">
        <f t="shared" si="2"/>
        <v>184758442.8</v>
      </c>
      <c r="P91" s="29">
        <f t="shared" si="3"/>
        <v>293267369.4</v>
      </c>
      <c r="Q91" s="29">
        <f t="shared" si="4"/>
        <v>108508926.7</v>
      </c>
      <c r="R91" s="4">
        <v>0.075</v>
      </c>
      <c r="S91" s="29">
        <f t="shared" si="5"/>
        <v>212472209.2</v>
      </c>
      <c r="T91" s="29">
        <f t="shared" si="6"/>
        <v>337257474.9</v>
      </c>
      <c r="U91" s="29">
        <f t="shared" si="7"/>
        <v>124785265.7</v>
      </c>
    </row>
    <row r="92" ht="14.25" customHeight="1">
      <c r="A92" s="4">
        <v>90.0</v>
      </c>
      <c r="B92" s="2" t="s">
        <v>348</v>
      </c>
      <c r="C92" s="2" t="s">
        <v>333</v>
      </c>
      <c r="D92" s="3">
        <v>3.7E9</v>
      </c>
      <c r="E92" s="2" t="s">
        <v>100</v>
      </c>
      <c r="F92" s="4" t="str">
        <f>VLOOKUP(B92,Raw_Data_Collection!$B$2:$F$215,5,FALSE)</f>
        <v>N</v>
      </c>
      <c r="G92" s="3" t="str">
        <f>VLOOKUP(B92,Raw_Data_Collection!$B$2:$J$215,6,FALSE)</f>
        <v/>
      </c>
      <c r="J92" s="2" t="str">
        <f>VLOOKUP(B92,Raw_Data_Collection!$B$2:$J$215,9,FALSE)</f>
        <v/>
      </c>
      <c r="K92" s="18">
        <f>VLOOKUP(B92,Real_Estate_Stats_Preferred!$A$2:$G$215,7,FALSE)</f>
        <v>23533321.43</v>
      </c>
      <c r="L92" s="18">
        <f t="shared" si="1"/>
        <v>3676466679</v>
      </c>
      <c r="M92" s="4">
        <v>0.37</v>
      </c>
      <c r="N92" s="4">
        <v>0.05</v>
      </c>
      <c r="O92" s="29">
        <f t="shared" si="2"/>
        <v>183823333.9</v>
      </c>
      <c r="P92" s="29">
        <f t="shared" si="3"/>
        <v>291783069.7</v>
      </c>
      <c r="Q92" s="29">
        <f t="shared" si="4"/>
        <v>107959735.8</v>
      </c>
      <c r="R92" s="4">
        <v>0.075</v>
      </c>
      <c r="S92" s="29">
        <f t="shared" si="5"/>
        <v>211396834</v>
      </c>
      <c r="T92" s="29">
        <f t="shared" si="6"/>
        <v>335550530.2</v>
      </c>
      <c r="U92" s="29">
        <f t="shared" si="7"/>
        <v>124153696.2</v>
      </c>
    </row>
    <row r="93" ht="14.25" customHeight="1">
      <c r="A93" s="4">
        <v>91.0</v>
      </c>
      <c r="B93" s="2" t="s">
        <v>349</v>
      </c>
      <c r="C93" s="2" t="s">
        <v>350</v>
      </c>
      <c r="D93" s="3">
        <v>3.6E9</v>
      </c>
      <c r="E93" s="2" t="s">
        <v>47</v>
      </c>
      <c r="F93" s="4" t="str">
        <f>VLOOKUP(B93,Raw_Data_Collection!$B$2:$F$215,5,FALSE)</f>
        <v>N</v>
      </c>
      <c r="G93" s="3">
        <f>VLOOKUP(B93,Raw_Data_Collection!$B$2:$J$215,6,FALSE)</f>
        <v>12982483</v>
      </c>
      <c r="H93" s="5" t="s">
        <v>351</v>
      </c>
      <c r="I93" s="4">
        <v>2026.0</v>
      </c>
      <c r="J93" s="2" t="str">
        <f>VLOOKUP(B93,Raw_Data_Collection!$B$2:$J$215,9,FALSE)</f>
        <v/>
      </c>
      <c r="K93" s="18">
        <f>VLOOKUP(B93,Real_Estate_Stats_Preferred!$A$2:$G$215,7,FALSE)</f>
        <v>12982483</v>
      </c>
      <c r="L93" s="18">
        <f t="shared" si="1"/>
        <v>3587017517</v>
      </c>
      <c r="M93" s="4">
        <v>0.37</v>
      </c>
      <c r="N93" s="4">
        <v>0.05</v>
      </c>
      <c r="O93" s="29">
        <f t="shared" si="2"/>
        <v>179350875.9</v>
      </c>
      <c r="P93" s="29">
        <f t="shared" si="3"/>
        <v>284683929.9</v>
      </c>
      <c r="Q93" s="29">
        <f t="shared" si="4"/>
        <v>105333054.1</v>
      </c>
      <c r="R93" s="4">
        <v>0.075</v>
      </c>
      <c r="S93" s="29">
        <f t="shared" si="5"/>
        <v>206253507.2</v>
      </c>
      <c r="T93" s="29">
        <f t="shared" si="6"/>
        <v>327386519.4</v>
      </c>
      <c r="U93" s="29">
        <f t="shared" si="7"/>
        <v>121133012.2</v>
      </c>
      <c r="V93" s="4"/>
      <c r="W93" s="4"/>
      <c r="X93" s="10" t="s">
        <v>799</v>
      </c>
    </row>
    <row r="94" ht="14.25" customHeight="1">
      <c r="A94" s="4">
        <v>92.0</v>
      </c>
      <c r="B94" s="2" t="s">
        <v>353</v>
      </c>
      <c r="C94" s="2" t="s">
        <v>350</v>
      </c>
      <c r="D94" s="3">
        <v>3.6E9</v>
      </c>
      <c r="E94" s="2" t="s">
        <v>354</v>
      </c>
      <c r="F94" s="4" t="str">
        <f>VLOOKUP(B94,Raw_Data_Collection!$B$2:$F$215,5,FALSE)</f>
        <v>N</v>
      </c>
      <c r="G94" s="3" t="str">
        <f>VLOOKUP(B94,Raw_Data_Collection!$B$2:$J$215,6,FALSE)</f>
        <v/>
      </c>
      <c r="J94" s="2" t="str">
        <f>VLOOKUP(B94,Raw_Data_Collection!$B$2:$J$215,9,FALSE)</f>
        <v/>
      </c>
      <c r="K94" s="18">
        <f>VLOOKUP(B94,Real_Estate_Stats_Preferred!$A$2:$G$215,7,FALSE)</f>
        <v>22897285.71</v>
      </c>
      <c r="L94" s="18">
        <f t="shared" si="1"/>
        <v>3577102714</v>
      </c>
      <c r="M94" s="4">
        <v>0.37</v>
      </c>
      <c r="N94" s="4">
        <v>0.05</v>
      </c>
      <c r="O94" s="29">
        <f t="shared" si="2"/>
        <v>178855135.7</v>
      </c>
      <c r="P94" s="29">
        <f t="shared" si="3"/>
        <v>283897040.8</v>
      </c>
      <c r="Q94" s="29">
        <f t="shared" si="4"/>
        <v>105041905.1</v>
      </c>
      <c r="R94" s="4">
        <v>0.075</v>
      </c>
      <c r="S94" s="29">
        <f t="shared" si="5"/>
        <v>205683406.1</v>
      </c>
      <c r="T94" s="29">
        <f t="shared" si="6"/>
        <v>326481596.9</v>
      </c>
      <c r="U94" s="29">
        <f t="shared" si="7"/>
        <v>120798190.9</v>
      </c>
    </row>
    <row r="95" ht="14.25" customHeight="1">
      <c r="A95" s="4">
        <v>93.0</v>
      </c>
      <c r="B95" s="2" t="s">
        <v>355</v>
      </c>
      <c r="C95" s="2" t="s">
        <v>350</v>
      </c>
      <c r="D95" s="3">
        <v>3.6E9</v>
      </c>
      <c r="E95" s="2" t="s">
        <v>17</v>
      </c>
      <c r="F95" s="4" t="str">
        <f>VLOOKUP(B95,Raw_Data_Collection!$B$2:$F$215,5,FALSE)</f>
        <v>N</v>
      </c>
      <c r="G95" s="3">
        <f>VLOOKUP(B95,Raw_Data_Collection!$B$2:$J$215,6,FALSE)</f>
        <v>13784748</v>
      </c>
      <c r="H95" s="5" t="s">
        <v>356</v>
      </c>
      <c r="I95" s="4">
        <v>2026.0</v>
      </c>
      <c r="J95" s="2" t="str">
        <f>VLOOKUP(B95,Raw_Data_Collection!$B$2:$J$215,9,FALSE)</f>
        <v/>
      </c>
      <c r="K95" s="18">
        <f>VLOOKUP(B95,Real_Estate_Stats_Preferred!$A$2:$G$215,7,FALSE)</f>
        <v>13784748</v>
      </c>
      <c r="L95" s="18">
        <f t="shared" si="1"/>
        <v>3586215252</v>
      </c>
      <c r="M95" s="4">
        <v>0.37</v>
      </c>
      <c r="N95" s="4">
        <v>0.05</v>
      </c>
      <c r="O95" s="29">
        <f t="shared" si="2"/>
        <v>179310762.6</v>
      </c>
      <c r="P95" s="29">
        <f t="shared" si="3"/>
        <v>284620258.1</v>
      </c>
      <c r="Q95" s="29">
        <f t="shared" si="4"/>
        <v>105309495.5</v>
      </c>
      <c r="R95" s="4">
        <v>0.075</v>
      </c>
      <c r="S95" s="29">
        <f t="shared" si="5"/>
        <v>206207377</v>
      </c>
      <c r="T95" s="29">
        <f t="shared" si="6"/>
        <v>327313296.8</v>
      </c>
      <c r="U95" s="29">
        <f t="shared" si="7"/>
        <v>121105919.8</v>
      </c>
      <c r="V95" s="4"/>
      <c r="W95" s="4"/>
      <c r="X95" s="10" t="s">
        <v>800</v>
      </c>
    </row>
    <row r="96" ht="14.25" customHeight="1">
      <c r="A96" s="4">
        <v>94.0</v>
      </c>
      <c r="B96" s="2" t="s">
        <v>358</v>
      </c>
      <c r="C96" s="2" t="s">
        <v>359</v>
      </c>
      <c r="D96" s="3">
        <v>3.5E9</v>
      </c>
      <c r="E96" s="2" t="s">
        <v>17</v>
      </c>
      <c r="F96" s="4" t="str">
        <f>VLOOKUP(B96,Raw_Data_Collection!$B$2:$F$215,5,FALSE)</f>
        <v>N</v>
      </c>
      <c r="G96" s="3" t="str">
        <f>VLOOKUP(B96,Raw_Data_Collection!$B$2:$J$215,6,FALSE)</f>
        <v/>
      </c>
      <c r="J96" s="2" t="str">
        <f>VLOOKUP(B96,Raw_Data_Collection!$B$2:$J$215,9,FALSE)</f>
        <v/>
      </c>
      <c r="K96" s="18">
        <f>VLOOKUP(B96,Real_Estate_Stats_Preferred!$A$2:$G$215,7,FALSE)</f>
        <v>22261250</v>
      </c>
      <c r="L96" s="18">
        <f t="shared" si="1"/>
        <v>3477738750</v>
      </c>
      <c r="M96" s="4">
        <v>0.37</v>
      </c>
      <c r="N96" s="4">
        <v>0.05</v>
      </c>
      <c r="O96" s="29">
        <f t="shared" si="2"/>
        <v>173886937.5</v>
      </c>
      <c r="P96" s="29">
        <f t="shared" si="3"/>
        <v>276011011.9</v>
      </c>
      <c r="Q96" s="29">
        <f t="shared" si="4"/>
        <v>102124074.4</v>
      </c>
      <c r="R96" s="4">
        <v>0.075</v>
      </c>
      <c r="S96" s="29">
        <f t="shared" si="5"/>
        <v>199969978.1</v>
      </c>
      <c r="T96" s="29">
        <f t="shared" si="6"/>
        <v>317412663.7</v>
      </c>
      <c r="U96" s="29">
        <f t="shared" si="7"/>
        <v>117442685.6</v>
      </c>
    </row>
    <row r="97" ht="14.25" customHeight="1">
      <c r="A97" s="4">
        <v>95.0</v>
      </c>
      <c r="B97" s="2" t="s">
        <v>360</v>
      </c>
      <c r="C97" s="2" t="s">
        <v>359</v>
      </c>
      <c r="D97" s="3">
        <v>3.5E9</v>
      </c>
      <c r="E97" s="2" t="s">
        <v>17</v>
      </c>
      <c r="F97" s="4" t="str">
        <f>VLOOKUP(B97,Raw_Data_Collection!$B$2:$F$215,5,FALSE)</f>
        <v>N</v>
      </c>
      <c r="G97" s="3">
        <f>VLOOKUP(B97,Raw_Data_Collection!$B$2:$J$215,6,FALSE)</f>
        <v>86000000</v>
      </c>
      <c r="H97" s="5" t="s">
        <v>361</v>
      </c>
      <c r="I97" s="4">
        <v>2019.0</v>
      </c>
      <c r="J97" s="2" t="str">
        <f>VLOOKUP(B97,Raw_Data_Collection!$B$2:$J$215,9,FALSE)</f>
        <v/>
      </c>
      <c r="K97" s="18">
        <f>VLOOKUP(B97,Real_Estate_Stats_Preferred!$A$2:$G$215,7,FALSE)</f>
        <v>86000000</v>
      </c>
      <c r="L97" s="18">
        <f t="shared" si="1"/>
        <v>3414000000</v>
      </c>
      <c r="M97" s="4">
        <v>0.37</v>
      </c>
      <c r="N97" s="4">
        <v>0.05</v>
      </c>
      <c r="O97" s="29">
        <f t="shared" si="2"/>
        <v>170700000</v>
      </c>
      <c r="P97" s="29">
        <f t="shared" si="3"/>
        <v>270952381</v>
      </c>
      <c r="Q97" s="29">
        <f t="shared" si="4"/>
        <v>100252381</v>
      </c>
      <c r="R97" s="4">
        <v>0.075</v>
      </c>
      <c r="S97" s="29">
        <f t="shared" si="5"/>
        <v>196305000</v>
      </c>
      <c r="T97" s="29">
        <f t="shared" si="6"/>
        <v>311595238.1</v>
      </c>
      <c r="U97" s="29">
        <f t="shared" si="7"/>
        <v>115290238.1</v>
      </c>
      <c r="V97" s="4"/>
      <c r="W97" s="4"/>
      <c r="X97" s="4" t="s">
        <v>362</v>
      </c>
    </row>
    <row r="98" ht="14.25" customHeight="1">
      <c r="A98" s="4">
        <v>96.0</v>
      </c>
      <c r="B98" s="2" t="s">
        <v>363</v>
      </c>
      <c r="C98" s="2" t="s">
        <v>359</v>
      </c>
      <c r="D98" s="3">
        <v>3.5E9</v>
      </c>
      <c r="E98" s="2" t="s">
        <v>47</v>
      </c>
      <c r="F98" s="4" t="str">
        <f>VLOOKUP(B98,Raw_Data_Collection!$B$2:$F$215,5,FALSE)</f>
        <v>N</v>
      </c>
      <c r="G98" s="3">
        <f>VLOOKUP(B98,Raw_Data_Collection!$B$2:$J$215,6,FALSE)</f>
        <v>43300000</v>
      </c>
      <c r="H98" s="5" t="s">
        <v>364</v>
      </c>
      <c r="I98" s="4">
        <v>2020.0</v>
      </c>
      <c r="J98" s="2" t="str">
        <f>VLOOKUP(B98,Raw_Data_Collection!$B$2:$J$215,9,FALSE)</f>
        <v/>
      </c>
      <c r="K98" s="18">
        <f>VLOOKUP(B98,Real_Estate_Stats_Preferred!$A$2:$G$215,7,FALSE)</f>
        <v>43300000</v>
      </c>
      <c r="L98" s="18">
        <f t="shared" si="1"/>
        <v>3456700000</v>
      </c>
      <c r="M98" s="4">
        <v>0.37</v>
      </c>
      <c r="N98" s="4">
        <v>0.05</v>
      </c>
      <c r="O98" s="29">
        <f t="shared" si="2"/>
        <v>172835000</v>
      </c>
      <c r="P98" s="29">
        <f t="shared" si="3"/>
        <v>274341269.8</v>
      </c>
      <c r="Q98" s="29">
        <f t="shared" si="4"/>
        <v>101506269.8</v>
      </c>
      <c r="R98" s="4">
        <v>0.075</v>
      </c>
      <c r="S98" s="29">
        <f t="shared" si="5"/>
        <v>198760250</v>
      </c>
      <c r="T98" s="29">
        <f t="shared" si="6"/>
        <v>315492460.3</v>
      </c>
      <c r="U98" s="29">
        <f t="shared" si="7"/>
        <v>116732210.3</v>
      </c>
      <c r="V98" s="4"/>
      <c r="W98" s="4"/>
      <c r="Y98" s="5" t="s">
        <v>171</v>
      </c>
    </row>
    <row r="99" ht="14.25" customHeight="1">
      <c r="A99" s="4">
        <v>97.0</v>
      </c>
      <c r="B99" s="2" t="s">
        <v>365</v>
      </c>
      <c r="C99" s="2" t="s">
        <v>359</v>
      </c>
      <c r="D99" s="3">
        <v>3.5E9</v>
      </c>
      <c r="E99" s="2" t="s">
        <v>52</v>
      </c>
      <c r="F99" s="4" t="str">
        <f>VLOOKUP(B99,Raw_Data_Collection!$B$2:$F$215,5,FALSE)</f>
        <v>N</v>
      </c>
      <c r="G99" s="3">
        <f>VLOOKUP(B99,Raw_Data_Collection!$B$2:$J$215,6,FALSE)</f>
        <v>12500000</v>
      </c>
      <c r="H99" s="5" t="s">
        <v>366</v>
      </c>
      <c r="I99" s="4">
        <v>2024.0</v>
      </c>
      <c r="J99" s="2" t="str">
        <f>VLOOKUP(B99,Raw_Data_Collection!$B$2:$J$215,9,FALSE)</f>
        <v/>
      </c>
      <c r="K99" s="18">
        <f>VLOOKUP(B99,Real_Estate_Stats_Preferred!$A$2:$G$215,7,FALSE)</f>
        <v>12500000</v>
      </c>
      <c r="L99" s="18">
        <f t="shared" si="1"/>
        <v>3487500000</v>
      </c>
      <c r="M99" s="4">
        <v>0.37</v>
      </c>
      <c r="N99" s="4">
        <v>0.05</v>
      </c>
      <c r="O99" s="29">
        <f t="shared" si="2"/>
        <v>174375000</v>
      </c>
      <c r="P99" s="29">
        <f t="shared" si="3"/>
        <v>276785714.3</v>
      </c>
      <c r="Q99" s="29">
        <f t="shared" si="4"/>
        <v>102410714.3</v>
      </c>
      <c r="R99" s="4">
        <v>0.075</v>
      </c>
      <c r="S99" s="29">
        <f t="shared" si="5"/>
        <v>200531250</v>
      </c>
      <c r="T99" s="29">
        <f t="shared" si="6"/>
        <v>318303571.4</v>
      </c>
      <c r="U99" s="29">
        <f t="shared" si="7"/>
        <v>117772321.4</v>
      </c>
      <c r="V99" s="4"/>
      <c r="W99" s="4"/>
      <c r="X99" s="4" t="s">
        <v>367</v>
      </c>
      <c r="Y99" s="5" t="s">
        <v>368</v>
      </c>
    </row>
    <row r="100" ht="14.25" customHeight="1">
      <c r="A100" s="4">
        <v>98.0</v>
      </c>
      <c r="B100" s="2" t="s">
        <v>369</v>
      </c>
      <c r="C100" s="2" t="s">
        <v>370</v>
      </c>
      <c r="D100" s="3">
        <v>3.4E9</v>
      </c>
      <c r="E100" s="2" t="s">
        <v>100</v>
      </c>
      <c r="F100" s="4" t="str">
        <f>VLOOKUP(B100,Raw_Data_Collection!$B$2:$F$215,5,FALSE)</f>
        <v>N</v>
      </c>
      <c r="G100" s="3" t="str">
        <f>VLOOKUP(B100,Raw_Data_Collection!$B$2:$J$215,6,FALSE)</f>
        <v/>
      </c>
      <c r="J100" s="2" t="str">
        <f>VLOOKUP(B100,Raw_Data_Collection!$B$2:$J$215,9,FALSE)</f>
        <v/>
      </c>
      <c r="K100" s="18">
        <f>VLOOKUP(B100,Real_Estate_Stats_Preferred!$A$2:$G$215,7,FALSE)</f>
        <v>21625214.29</v>
      </c>
      <c r="L100" s="18">
        <f t="shared" si="1"/>
        <v>3378374786</v>
      </c>
      <c r="M100" s="4">
        <v>0.37</v>
      </c>
      <c r="N100" s="4">
        <v>0.05</v>
      </c>
      <c r="O100" s="29">
        <f t="shared" si="2"/>
        <v>168918739.3</v>
      </c>
      <c r="P100" s="29">
        <f t="shared" si="3"/>
        <v>268124983</v>
      </c>
      <c r="Q100" s="29">
        <f t="shared" si="4"/>
        <v>99206243.71</v>
      </c>
      <c r="R100" s="4">
        <v>0.075</v>
      </c>
      <c r="S100" s="29">
        <f t="shared" si="5"/>
        <v>194256550.2</v>
      </c>
      <c r="T100" s="29">
        <f t="shared" si="6"/>
        <v>308343730.4</v>
      </c>
      <c r="U100" s="29">
        <f t="shared" si="7"/>
        <v>114087180.3</v>
      </c>
      <c r="Y100" s="5" t="s">
        <v>171</v>
      </c>
    </row>
    <row r="101" ht="14.25" customHeight="1">
      <c r="A101" s="4">
        <v>99.0</v>
      </c>
      <c r="B101" s="2" t="s">
        <v>371</v>
      </c>
      <c r="C101" s="2" t="s">
        <v>372</v>
      </c>
      <c r="D101" s="3">
        <v>3.3E9</v>
      </c>
      <c r="E101" s="2" t="s">
        <v>329</v>
      </c>
      <c r="F101" s="4" t="str">
        <f>VLOOKUP(B101,Raw_Data_Collection!$B$2:$F$215,5,FALSE)</f>
        <v>N</v>
      </c>
      <c r="G101" s="3">
        <f>VLOOKUP(B101,Raw_Data_Collection!$B$2:$J$215,6,FALSE)</f>
        <v>10243300</v>
      </c>
      <c r="J101" s="2" t="str">
        <f>VLOOKUP(B101,Raw_Data_Collection!$B$2:$J$215,9,FALSE)</f>
        <v/>
      </c>
      <c r="K101" s="18">
        <f>VLOOKUP(B101,Real_Estate_Stats_Preferred!$A$2:$G$215,7,FALSE)</f>
        <v>10243300</v>
      </c>
      <c r="L101" s="18">
        <f t="shared" si="1"/>
        <v>3289756700</v>
      </c>
      <c r="M101" s="4">
        <v>0.37</v>
      </c>
      <c r="N101" s="4">
        <v>0.05</v>
      </c>
      <c r="O101" s="29">
        <f t="shared" si="2"/>
        <v>164487835</v>
      </c>
      <c r="P101" s="29">
        <f t="shared" si="3"/>
        <v>261091801.6</v>
      </c>
      <c r="Q101" s="29">
        <f t="shared" si="4"/>
        <v>96603966.59</v>
      </c>
      <c r="R101" s="4">
        <v>0.075</v>
      </c>
      <c r="S101" s="29">
        <f t="shared" si="5"/>
        <v>189161010.3</v>
      </c>
      <c r="T101" s="29">
        <f t="shared" si="6"/>
        <v>300255571.8</v>
      </c>
      <c r="U101" s="29">
        <f t="shared" si="7"/>
        <v>111094561.6</v>
      </c>
    </row>
    <row r="102" ht="14.25" customHeight="1">
      <c r="A102" s="4">
        <v>100.0</v>
      </c>
      <c r="B102" s="2" t="s">
        <v>375</v>
      </c>
      <c r="C102" s="2" t="s">
        <v>376</v>
      </c>
      <c r="D102" s="3">
        <v>3.2E9</v>
      </c>
      <c r="E102" s="2" t="s">
        <v>52</v>
      </c>
      <c r="F102" s="4" t="str">
        <f>VLOOKUP(B102,Raw_Data_Collection!$B$2:$F$215,5,FALSE)</f>
        <v>N</v>
      </c>
      <c r="G102" s="3">
        <f>VLOOKUP(B102,Raw_Data_Collection!$B$2:$J$215,6,FALSE)</f>
        <v>42000000</v>
      </c>
      <c r="J102" s="2" t="str">
        <f>VLOOKUP(B102,Raw_Data_Collection!$B$2:$J$215,9,FALSE)</f>
        <v/>
      </c>
      <c r="K102" s="18">
        <f>VLOOKUP(B102,Real_Estate_Stats_Preferred!$A$2:$G$215,7,FALSE)</f>
        <v>42000000</v>
      </c>
      <c r="L102" s="18">
        <f t="shared" si="1"/>
        <v>3158000000</v>
      </c>
      <c r="M102" s="4">
        <v>0.37</v>
      </c>
      <c r="N102" s="4">
        <v>0.05</v>
      </c>
      <c r="O102" s="29">
        <f t="shared" si="2"/>
        <v>157900000</v>
      </c>
      <c r="P102" s="29">
        <f t="shared" si="3"/>
        <v>250634920.6</v>
      </c>
      <c r="Q102" s="29">
        <f t="shared" si="4"/>
        <v>92734920.63</v>
      </c>
      <c r="R102" s="4">
        <v>0.075</v>
      </c>
      <c r="S102" s="29">
        <f t="shared" si="5"/>
        <v>181585000</v>
      </c>
      <c r="T102" s="29">
        <f t="shared" si="6"/>
        <v>288230158.7</v>
      </c>
      <c r="U102" s="29">
        <f t="shared" si="7"/>
        <v>106645158.7</v>
      </c>
    </row>
    <row r="103" ht="14.25" customHeight="1">
      <c r="A103" s="4">
        <v>101.0</v>
      </c>
      <c r="B103" s="2" t="s">
        <v>379</v>
      </c>
      <c r="C103" s="2" t="s">
        <v>376</v>
      </c>
      <c r="D103" s="3">
        <v>3.2E9</v>
      </c>
      <c r="E103" s="2" t="s">
        <v>100</v>
      </c>
      <c r="F103" s="4" t="str">
        <f>VLOOKUP(B103,Raw_Data_Collection!$B$2:$F$215,5,FALSE)</f>
        <v>N</v>
      </c>
      <c r="G103" s="3">
        <f>VLOOKUP(B103,Raw_Data_Collection!$B$2:$J$215,6,FALSE)</f>
        <v>28250000</v>
      </c>
      <c r="H103" s="5" t="s">
        <v>380</v>
      </c>
      <c r="I103" s="4">
        <v>2015.0</v>
      </c>
      <c r="J103" s="2" t="str">
        <f>VLOOKUP(B103,Raw_Data_Collection!$B$2:$J$215,9,FALSE)</f>
        <v/>
      </c>
      <c r="K103" s="18">
        <f>VLOOKUP(B103,Real_Estate_Stats_Preferred!$A$2:$G$215,7,FALSE)</f>
        <v>28250000</v>
      </c>
      <c r="L103" s="18">
        <f t="shared" si="1"/>
        <v>3171750000</v>
      </c>
      <c r="M103" s="4">
        <v>0.37</v>
      </c>
      <c r="N103" s="4">
        <v>0.05</v>
      </c>
      <c r="O103" s="29">
        <f t="shared" si="2"/>
        <v>158587500</v>
      </c>
      <c r="P103" s="29">
        <f t="shared" si="3"/>
        <v>251726190.5</v>
      </c>
      <c r="Q103" s="29">
        <f t="shared" si="4"/>
        <v>93138690.48</v>
      </c>
      <c r="R103" s="4">
        <v>0.075</v>
      </c>
      <c r="S103" s="29">
        <f t="shared" si="5"/>
        <v>182375625</v>
      </c>
      <c r="T103" s="29">
        <f t="shared" si="6"/>
        <v>289485119</v>
      </c>
      <c r="U103" s="29">
        <f t="shared" si="7"/>
        <v>107109494</v>
      </c>
      <c r="V103" s="4"/>
      <c r="W103" s="4"/>
    </row>
    <row r="104" ht="14.25" customHeight="1">
      <c r="A104" s="4">
        <v>102.0</v>
      </c>
      <c r="B104" s="2" t="s">
        <v>381</v>
      </c>
      <c r="C104" s="2" t="s">
        <v>376</v>
      </c>
      <c r="D104" s="3">
        <v>3.2E9</v>
      </c>
      <c r="E104" s="2" t="s">
        <v>100</v>
      </c>
      <c r="F104" s="4" t="str">
        <f>VLOOKUP(B104,Raw_Data_Collection!$B$2:$F$215,5,FALSE)</f>
        <v>N</v>
      </c>
      <c r="G104" s="3" t="str">
        <f>VLOOKUP(B104,Raw_Data_Collection!$B$2:$J$215,6,FALSE)</f>
        <v/>
      </c>
      <c r="J104" s="2" t="str">
        <f>VLOOKUP(B104,Raw_Data_Collection!$B$2:$J$215,9,FALSE)</f>
        <v/>
      </c>
      <c r="K104" s="18">
        <f>VLOOKUP(B104,Real_Estate_Stats_Preferred!$A$2:$G$215,7,FALSE)</f>
        <v>20353142.86</v>
      </c>
      <c r="L104" s="18">
        <f t="shared" si="1"/>
        <v>3179646857</v>
      </c>
      <c r="M104" s="4">
        <v>0.37</v>
      </c>
      <c r="N104" s="4">
        <v>0.05</v>
      </c>
      <c r="O104" s="29">
        <f t="shared" si="2"/>
        <v>158982342.9</v>
      </c>
      <c r="P104" s="29">
        <f t="shared" si="3"/>
        <v>252352925.2</v>
      </c>
      <c r="Q104" s="29">
        <f t="shared" si="4"/>
        <v>93370582.31</v>
      </c>
      <c r="R104" s="4">
        <v>0.075</v>
      </c>
      <c r="S104" s="29">
        <f t="shared" si="5"/>
        <v>182829694.3</v>
      </c>
      <c r="T104" s="29">
        <f t="shared" si="6"/>
        <v>290205863.9</v>
      </c>
      <c r="U104" s="29">
        <f t="shared" si="7"/>
        <v>107376169.7</v>
      </c>
    </row>
    <row r="105" ht="14.25" customHeight="1">
      <c r="A105" s="4">
        <v>103.0</v>
      </c>
      <c r="B105" s="2" t="s">
        <v>382</v>
      </c>
      <c r="C105" s="2" t="s">
        <v>376</v>
      </c>
      <c r="D105" s="3">
        <v>3.2E9</v>
      </c>
      <c r="E105" s="2" t="s">
        <v>80</v>
      </c>
      <c r="F105" s="4" t="str">
        <f>VLOOKUP(B105,Raw_Data_Collection!$B$2:$F$215,5,FALSE)</f>
        <v>N</v>
      </c>
      <c r="G105" s="3">
        <f>VLOOKUP(B105,Raw_Data_Collection!$B$2:$J$215,6,FALSE)</f>
        <v>57500000</v>
      </c>
      <c r="H105" s="5" t="s">
        <v>383</v>
      </c>
      <c r="I105" s="4">
        <v>2025.0</v>
      </c>
      <c r="J105" s="2" t="str">
        <f>VLOOKUP(B105,Raw_Data_Collection!$B$2:$J$215,9,FALSE)</f>
        <v/>
      </c>
      <c r="K105" s="18">
        <f>VLOOKUP(B105,Real_Estate_Stats_Preferred!$A$2:$G$215,7,FALSE)</f>
        <v>57500000</v>
      </c>
      <c r="L105" s="18">
        <f t="shared" si="1"/>
        <v>3142500000</v>
      </c>
      <c r="M105" s="4">
        <v>0.37</v>
      </c>
      <c r="N105" s="4">
        <v>0.05</v>
      </c>
      <c r="O105" s="29">
        <f t="shared" si="2"/>
        <v>157125000</v>
      </c>
      <c r="P105" s="29">
        <f t="shared" si="3"/>
        <v>249404761.9</v>
      </c>
      <c r="Q105" s="29">
        <f t="shared" si="4"/>
        <v>92279761.9</v>
      </c>
      <c r="R105" s="4">
        <v>0.075</v>
      </c>
      <c r="S105" s="29">
        <f t="shared" si="5"/>
        <v>180693750</v>
      </c>
      <c r="T105" s="29">
        <f t="shared" si="6"/>
        <v>286815476.2</v>
      </c>
      <c r="U105" s="29">
        <f t="shared" si="7"/>
        <v>106121726.2</v>
      </c>
      <c r="V105" s="4"/>
      <c r="W105" s="4"/>
    </row>
    <row r="106" ht="14.25" customHeight="1">
      <c r="A106" s="4">
        <v>104.0</v>
      </c>
      <c r="B106" s="2" t="s">
        <v>384</v>
      </c>
      <c r="C106" s="2" t="s">
        <v>376</v>
      </c>
      <c r="D106" s="3">
        <v>3.2E9</v>
      </c>
      <c r="E106" s="2" t="s">
        <v>100</v>
      </c>
      <c r="F106" s="4" t="str">
        <f>VLOOKUP(B106,Raw_Data_Collection!$B$2:$F$215,5,FALSE)</f>
        <v>N</v>
      </c>
      <c r="G106" s="3" t="str">
        <f>VLOOKUP(B106,Raw_Data_Collection!$B$2:$J$215,6,FALSE)</f>
        <v/>
      </c>
      <c r="J106" s="2" t="str">
        <f>VLOOKUP(B106,Raw_Data_Collection!$B$2:$J$215,9,FALSE)</f>
        <v/>
      </c>
      <c r="K106" s="18">
        <f>VLOOKUP(B106,Real_Estate_Stats_Preferred!$A$2:$G$215,7,FALSE)</f>
        <v>20353142.86</v>
      </c>
      <c r="L106" s="18">
        <f t="shared" si="1"/>
        <v>3179646857</v>
      </c>
      <c r="M106" s="4">
        <v>0.37</v>
      </c>
      <c r="N106" s="4">
        <v>0.05</v>
      </c>
      <c r="O106" s="29">
        <f t="shared" si="2"/>
        <v>158982342.9</v>
      </c>
      <c r="P106" s="29">
        <f t="shared" si="3"/>
        <v>252352925.2</v>
      </c>
      <c r="Q106" s="29">
        <f t="shared" si="4"/>
        <v>93370582.31</v>
      </c>
      <c r="R106" s="4">
        <v>0.075</v>
      </c>
      <c r="S106" s="29">
        <f t="shared" si="5"/>
        <v>182829694.3</v>
      </c>
      <c r="T106" s="29">
        <f t="shared" si="6"/>
        <v>290205863.9</v>
      </c>
      <c r="U106" s="29">
        <f t="shared" si="7"/>
        <v>107376169.7</v>
      </c>
    </row>
    <row r="107" ht="14.25" customHeight="1">
      <c r="A107" s="4">
        <v>105.0</v>
      </c>
      <c r="B107" s="2" t="s">
        <v>385</v>
      </c>
      <c r="C107" s="2" t="s">
        <v>376</v>
      </c>
      <c r="D107" s="3">
        <v>3.2E9</v>
      </c>
      <c r="E107" s="2" t="s">
        <v>17</v>
      </c>
      <c r="F107" s="4" t="str">
        <f>VLOOKUP(B107,Raw_Data_Collection!$B$2:$F$215,5,FALSE)</f>
        <v>N</v>
      </c>
      <c r="G107" s="3" t="str">
        <f>VLOOKUP(B107,Raw_Data_Collection!$B$2:$J$215,6,FALSE)</f>
        <v/>
      </c>
      <c r="J107" s="2" t="str">
        <f>VLOOKUP(B107,Raw_Data_Collection!$B$2:$J$215,9,FALSE)</f>
        <v/>
      </c>
      <c r="K107" s="18">
        <f>VLOOKUP(B107,Real_Estate_Stats_Preferred!$A$2:$G$215,7,FALSE)</f>
        <v>20353142.86</v>
      </c>
      <c r="L107" s="18">
        <f t="shared" si="1"/>
        <v>3179646857</v>
      </c>
      <c r="M107" s="4">
        <v>0.37</v>
      </c>
      <c r="N107" s="4">
        <v>0.05</v>
      </c>
      <c r="O107" s="29">
        <f t="shared" si="2"/>
        <v>158982342.9</v>
      </c>
      <c r="P107" s="29">
        <f t="shared" si="3"/>
        <v>252352925.2</v>
      </c>
      <c r="Q107" s="29">
        <f t="shared" si="4"/>
        <v>93370582.31</v>
      </c>
      <c r="R107" s="4">
        <v>0.075</v>
      </c>
      <c r="S107" s="29">
        <f t="shared" si="5"/>
        <v>182829694.3</v>
      </c>
      <c r="T107" s="29">
        <f t="shared" si="6"/>
        <v>290205863.9</v>
      </c>
      <c r="U107" s="29">
        <f t="shared" si="7"/>
        <v>107376169.7</v>
      </c>
    </row>
    <row r="108" ht="14.25" customHeight="1">
      <c r="A108" s="4">
        <v>106.0</v>
      </c>
      <c r="B108" s="2" t="s">
        <v>386</v>
      </c>
      <c r="C108" s="2" t="s">
        <v>387</v>
      </c>
      <c r="D108" s="3">
        <v>3.1E9</v>
      </c>
      <c r="E108" s="2" t="s">
        <v>90</v>
      </c>
      <c r="F108" s="4" t="str">
        <f>VLOOKUP(B108,Raw_Data_Collection!$B$2:$F$215,5,FALSE)</f>
        <v>N</v>
      </c>
      <c r="G108" s="3">
        <f>VLOOKUP(B108,Raw_Data_Collection!$B$2:$J$215,6,FALSE)</f>
        <v>15563106</v>
      </c>
      <c r="J108" s="2" t="str">
        <f>VLOOKUP(B108,Raw_Data_Collection!$B$2:$J$215,9,FALSE)</f>
        <v/>
      </c>
      <c r="K108" s="18">
        <f>VLOOKUP(B108,Real_Estate_Stats_Preferred!$A$2:$G$215,7,FALSE)</f>
        <v>15563106</v>
      </c>
      <c r="L108" s="18">
        <f t="shared" si="1"/>
        <v>3084436894</v>
      </c>
      <c r="M108" s="4">
        <v>0.37</v>
      </c>
      <c r="N108" s="4">
        <v>0.05</v>
      </c>
      <c r="O108" s="29">
        <f t="shared" si="2"/>
        <v>154221844.7</v>
      </c>
      <c r="P108" s="29">
        <f t="shared" si="3"/>
        <v>244796578.9</v>
      </c>
      <c r="Q108" s="29">
        <f t="shared" si="4"/>
        <v>90574734.19</v>
      </c>
      <c r="R108" s="4">
        <v>0.075</v>
      </c>
      <c r="S108" s="29">
        <f t="shared" si="5"/>
        <v>177355121.4</v>
      </c>
      <c r="T108" s="29">
        <f t="shared" si="6"/>
        <v>281516065.7</v>
      </c>
      <c r="U108" s="29">
        <f t="shared" si="7"/>
        <v>104160944.3</v>
      </c>
    </row>
    <row r="109" ht="14.25" customHeight="1">
      <c r="A109" s="4">
        <v>107.0</v>
      </c>
      <c r="B109" s="2" t="s">
        <v>390</v>
      </c>
      <c r="C109" s="2" t="s">
        <v>387</v>
      </c>
      <c r="D109" s="3">
        <v>3.1E9</v>
      </c>
      <c r="E109" s="2" t="s">
        <v>391</v>
      </c>
      <c r="F109" s="4" t="str">
        <f>VLOOKUP(B109,Raw_Data_Collection!$B$2:$F$215,5,FALSE)</f>
        <v>N</v>
      </c>
      <c r="G109" s="3">
        <f>VLOOKUP(B109,Raw_Data_Collection!$B$2:$J$215,6,FALSE)</f>
        <v>50000000</v>
      </c>
      <c r="H109" s="5" t="s">
        <v>392</v>
      </c>
      <c r="I109" s="4">
        <v>2024.0</v>
      </c>
      <c r="J109" s="18">
        <f>VLOOKUP(B109,Raw_Data_Collection!$B$2:$J$215,9,FALSE)</f>
        <v>150000000</v>
      </c>
      <c r="K109" s="18">
        <f>VLOOKUP(B109,Real_Estate_Stats_Preferred!$A$2:$G$215,7,FALSE)</f>
        <v>150000000</v>
      </c>
      <c r="L109" s="18">
        <f t="shared" si="1"/>
        <v>2950000000</v>
      </c>
      <c r="M109" s="4">
        <v>0.37</v>
      </c>
      <c r="N109" s="4">
        <v>0.05</v>
      </c>
      <c r="O109" s="29">
        <f t="shared" si="2"/>
        <v>147500000</v>
      </c>
      <c r="P109" s="29">
        <f t="shared" si="3"/>
        <v>234126984.1</v>
      </c>
      <c r="Q109" s="29">
        <f t="shared" si="4"/>
        <v>86626984.13</v>
      </c>
      <c r="R109" s="4">
        <v>0.075</v>
      </c>
      <c r="S109" s="29">
        <f t="shared" si="5"/>
        <v>169625000</v>
      </c>
      <c r="T109" s="29">
        <f t="shared" si="6"/>
        <v>269246031.7</v>
      </c>
      <c r="U109" s="29">
        <f t="shared" si="7"/>
        <v>99621031.75</v>
      </c>
      <c r="V109" s="4" t="s">
        <v>393</v>
      </c>
      <c r="W109" s="4"/>
      <c r="X109" s="4" t="s">
        <v>394</v>
      </c>
    </row>
    <row r="110" ht="14.25" customHeight="1">
      <c r="A110" s="4">
        <v>108.0</v>
      </c>
      <c r="B110" s="2" t="s">
        <v>395</v>
      </c>
      <c r="C110" s="2" t="s">
        <v>396</v>
      </c>
      <c r="D110" s="3">
        <v>3.0E9</v>
      </c>
      <c r="E110" s="2" t="s">
        <v>30</v>
      </c>
      <c r="F110" s="4" t="str">
        <f>VLOOKUP(B110,Raw_Data_Collection!$B$2:$F$215,5,FALSE)</f>
        <v>N</v>
      </c>
      <c r="G110" s="3" t="str">
        <f>VLOOKUP(B110,Raw_Data_Collection!$B$2:$J$215,6,FALSE)</f>
        <v/>
      </c>
      <c r="J110" s="2" t="str">
        <f>VLOOKUP(B110,Raw_Data_Collection!$B$2:$J$215,9,FALSE)</f>
        <v/>
      </c>
      <c r="K110" s="18">
        <f>VLOOKUP(B110,Real_Estate_Stats_Preferred!$A$2:$G$215,7,FALSE)</f>
        <v>19081071.43</v>
      </c>
      <c r="L110" s="18">
        <f t="shared" si="1"/>
        <v>2980918929</v>
      </c>
      <c r="M110" s="4">
        <v>0.37</v>
      </c>
      <c r="N110" s="4">
        <v>0.05</v>
      </c>
      <c r="O110" s="29">
        <f t="shared" si="2"/>
        <v>149045946.4</v>
      </c>
      <c r="P110" s="29">
        <f t="shared" si="3"/>
        <v>236580867.3</v>
      </c>
      <c r="Q110" s="29">
        <f t="shared" si="4"/>
        <v>87534920.92</v>
      </c>
      <c r="R110" s="4">
        <v>0.075</v>
      </c>
      <c r="S110" s="29">
        <f t="shared" si="5"/>
        <v>171402838.4</v>
      </c>
      <c r="T110" s="29">
        <f t="shared" si="6"/>
        <v>272067997.4</v>
      </c>
      <c r="U110" s="29">
        <f t="shared" si="7"/>
        <v>100665159.1</v>
      </c>
    </row>
    <row r="111" ht="14.25" customHeight="1">
      <c r="A111" s="4">
        <v>109.0</v>
      </c>
      <c r="B111" s="2" t="s">
        <v>397</v>
      </c>
      <c r="C111" s="2" t="s">
        <v>396</v>
      </c>
      <c r="D111" s="3">
        <v>3.0E9</v>
      </c>
      <c r="E111" s="2" t="s">
        <v>47</v>
      </c>
      <c r="F111" s="4" t="str">
        <f>VLOOKUP(B111,Raw_Data_Collection!$B$2:$F$215,5,FALSE)</f>
        <v>N</v>
      </c>
      <c r="G111" s="3">
        <f>VLOOKUP(B111,Raw_Data_Collection!$B$2:$J$215,6,FALSE)</f>
        <v>55000000</v>
      </c>
      <c r="H111" s="5" t="s">
        <v>398</v>
      </c>
      <c r="I111" s="4">
        <v>2014.0</v>
      </c>
      <c r="J111" s="2" t="str">
        <f>VLOOKUP(B111,Raw_Data_Collection!$B$2:$J$215,9,FALSE)</f>
        <v/>
      </c>
      <c r="K111" s="18">
        <f>VLOOKUP(B111,Real_Estate_Stats_Preferred!$A$2:$G$215,7,FALSE)</f>
        <v>55000000</v>
      </c>
      <c r="L111" s="18">
        <f t="shared" si="1"/>
        <v>2945000000</v>
      </c>
      <c r="M111" s="4">
        <v>0.37</v>
      </c>
      <c r="N111" s="4">
        <v>0.05</v>
      </c>
      <c r="O111" s="29">
        <f t="shared" si="2"/>
        <v>147250000</v>
      </c>
      <c r="P111" s="29">
        <f t="shared" si="3"/>
        <v>233730158.7</v>
      </c>
      <c r="Q111" s="29">
        <f t="shared" si="4"/>
        <v>86480158.73</v>
      </c>
      <c r="R111" s="4">
        <v>0.075</v>
      </c>
      <c r="S111" s="29">
        <f t="shared" si="5"/>
        <v>169337500</v>
      </c>
      <c r="T111" s="29">
        <f t="shared" si="6"/>
        <v>268789682.5</v>
      </c>
      <c r="U111" s="29">
        <f t="shared" si="7"/>
        <v>99452182.54</v>
      </c>
      <c r="V111" s="4"/>
      <c r="W111" s="4"/>
    </row>
    <row r="112" ht="14.25" customHeight="1">
      <c r="A112" s="4">
        <v>110.0</v>
      </c>
      <c r="B112" s="2" t="s">
        <v>399</v>
      </c>
      <c r="C112" s="2" t="s">
        <v>400</v>
      </c>
      <c r="D112" s="3">
        <v>2.9E9</v>
      </c>
      <c r="E112" s="2" t="s">
        <v>80</v>
      </c>
      <c r="F112" s="4" t="str">
        <f>VLOOKUP(B112,Raw_Data_Collection!$B$2:$F$215,5,FALSE)</f>
        <v>N</v>
      </c>
      <c r="G112" s="3">
        <f>VLOOKUP(B112,Raw_Data_Collection!$B$2:$J$215,6,FALSE)</f>
        <v>63100000</v>
      </c>
      <c r="H112" s="5" t="s">
        <v>401</v>
      </c>
      <c r="I112" s="4">
        <v>2021.0</v>
      </c>
      <c r="J112" s="2" t="str">
        <f>VLOOKUP(B112,Raw_Data_Collection!$B$2:$J$215,9,FALSE)</f>
        <v/>
      </c>
      <c r="K112" s="18">
        <f>VLOOKUP(B112,Real_Estate_Stats_Preferred!$A$2:$G$215,7,FALSE)</f>
        <v>63100000</v>
      </c>
      <c r="L112" s="18">
        <f t="shared" si="1"/>
        <v>2836900000</v>
      </c>
      <c r="M112" s="4">
        <v>0.37</v>
      </c>
      <c r="N112" s="4">
        <v>0.05</v>
      </c>
      <c r="O112" s="29">
        <f t="shared" si="2"/>
        <v>141845000</v>
      </c>
      <c r="P112" s="29">
        <f t="shared" si="3"/>
        <v>225150793.7</v>
      </c>
      <c r="Q112" s="29">
        <f t="shared" si="4"/>
        <v>83305793.65</v>
      </c>
      <c r="R112" s="4">
        <v>0.075</v>
      </c>
      <c r="S112" s="29">
        <f t="shared" si="5"/>
        <v>163121750</v>
      </c>
      <c r="T112" s="29">
        <f t="shared" si="6"/>
        <v>258923412.7</v>
      </c>
      <c r="U112" s="29">
        <f t="shared" si="7"/>
        <v>95801662.7</v>
      </c>
      <c r="V112" s="4"/>
      <c r="W112" s="4"/>
    </row>
    <row r="113" ht="14.25" customHeight="1">
      <c r="A113" s="4">
        <v>111.0</v>
      </c>
      <c r="B113" s="2" t="s">
        <v>402</v>
      </c>
      <c r="C113" s="2" t="s">
        <v>400</v>
      </c>
      <c r="D113" s="3">
        <v>2.9E9</v>
      </c>
      <c r="E113" s="2" t="s">
        <v>100</v>
      </c>
      <c r="F113" s="4" t="str">
        <f>VLOOKUP(B113,Raw_Data_Collection!$B$2:$F$215,5,FALSE)</f>
        <v>N</v>
      </c>
      <c r="G113" s="3">
        <f>VLOOKUP(B113,Raw_Data_Collection!$B$2:$J$215,6,FALSE)</f>
        <v>12072842</v>
      </c>
      <c r="H113" s="5" t="s">
        <v>403</v>
      </c>
      <c r="I113" s="4">
        <v>2026.0</v>
      </c>
      <c r="J113" s="2" t="str">
        <f>VLOOKUP(B113,Raw_Data_Collection!$B$2:$J$215,9,FALSE)</f>
        <v/>
      </c>
      <c r="K113" s="18">
        <f>VLOOKUP(B113,Real_Estate_Stats_Preferred!$A$2:$G$215,7,FALSE)</f>
        <v>12072842</v>
      </c>
      <c r="L113" s="18">
        <f t="shared" si="1"/>
        <v>2887927158</v>
      </c>
      <c r="M113" s="4">
        <v>0.37</v>
      </c>
      <c r="N113" s="4">
        <v>0.05</v>
      </c>
      <c r="O113" s="29">
        <f t="shared" si="2"/>
        <v>144396357.9</v>
      </c>
      <c r="P113" s="29">
        <f t="shared" si="3"/>
        <v>229200568.1</v>
      </c>
      <c r="Q113" s="29">
        <f t="shared" si="4"/>
        <v>84804210.2</v>
      </c>
      <c r="R113" s="4">
        <v>0.075</v>
      </c>
      <c r="S113" s="29">
        <f t="shared" si="5"/>
        <v>166055811.6</v>
      </c>
      <c r="T113" s="29">
        <f t="shared" si="6"/>
        <v>263580653.3</v>
      </c>
      <c r="U113" s="29">
        <f t="shared" si="7"/>
        <v>97524841.72</v>
      </c>
      <c r="V113" s="4"/>
      <c r="W113" s="4"/>
      <c r="X113" s="6" t="s">
        <v>801</v>
      </c>
    </row>
    <row r="114" ht="14.25" customHeight="1">
      <c r="A114" s="4">
        <v>112.0</v>
      </c>
      <c r="B114" s="2" t="s">
        <v>405</v>
      </c>
      <c r="C114" s="2" t="s">
        <v>406</v>
      </c>
      <c r="D114" s="3">
        <v>2.8E9</v>
      </c>
      <c r="E114" s="2" t="s">
        <v>90</v>
      </c>
      <c r="F114" s="4" t="str">
        <f>VLOOKUP(B114,Raw_Data_Collection!$B$2:$F$215,5,FALSE)</f>
        <v>N</v>
      </c>
      <c r="G114" s="3">
        <f>VLOOKUP(B114,Raw_Data_Collection!$B$2:$J$215,6,FALSE)</f>
        <v>17197000</v>
      </c>
      <c r="J114" s="2" t="str">
        <f>VLOOKUP(B114,Raw_Data_Collection!$B$2:$J$215,9,FALSE)</f>
        <v/>
      </c>
      <c r="K114" s="18">
        <f>VLOOKUP(B114,Real_Estate_Stats_Preferred!$A$2:$G$215,7,FALSE)</f>
        <v>17197000</v>
      </c>
      <c r="L114" s="18">
        <f t="shared" si="1"/>
        <v>2782803000</v>
      </c>
      <c r="M114" s="4">
        <v>0.37</v>
      </c>
      <c r="N114" s="4">
        <v>0.05</v>
      </c>
      <c r="O114" s="29">
        <f t="shared" si="2"/>
        <v>139140150</v>
      </c>
      <c r="P114" s="29">
        <f t="shared" si="3"/>
        <v>220857381</v>
      </c>
      <c r="Q114" s="29">
        <f t="shared" si="4"/>
        <v>81717230.95</v>
      </c>
      <c r="R114" s="4">
        <v>0.075</v>
      </c>
      <c r="S114" s="29">
        <f t="shared" si="5"/>
        <v>160011172.5</v>
      </c>
      <c r="T114" s="29">
        <f t="shared" si="6"/>
        <v>253985988.1</v>
      </c>
      <c r="U114" s="29">
        <f t="shared" si="7"/>
        <v>93974815.6</v>
      </c>
    </row>
    <row r="115" ht="14.25" customHeight="1">
      <c r="A115" s="4">
        <v>113.0</v>
      </c>
      <c r="B115" s="2" t="s">
        <v>408</v>
      </c>
      <c r="C115" s="2" t="s">
        <v>406</v>
      </c>
      <c r="D115" s="3">
        <v>2.8E9</v>
      </c>
      <c r="E115" s="2" t="s">
        <v>409</v>
      </c>
      <c r="F115" s="4" t="str">
        <f>VLOOKUP(B115,Raw_Data_Collection!$B$2:$F$215,5,FALSE)</f>
        <v>N</v>
      </c>
      <c r="G115" s="3" t="str">
        <f>VLOOKUP(B115,Raw_Data_Collection!$B$2:$J$215,6,FALSE)</f>
        <v/>
      </c>
      <c r="J115" s="2" t="str">
        <f>VLOOKUP(B115,Raw_Data_Collection!$B$2:$J$215,9,FALSE)</f>
        <v/>
      </c>
      <c r="K115" s="18">
        <f>VLOOKUP(B115,Real_Estate_Stats_Preferred!$A$2:$G$215,7,FALSE)</f>
        <v>17809000</v>
      </c>
      <c r="L115" s="18">
        <f t="shared" si="1"/>
        <v>2782191000</v>
      </c>
      <c r="M115" s="4">
        <v>0.37</v>
      </c>
      <c r="N115" s="4">
        <v>0.05</v>
      </c>
      <c r="O115" s="29">
        <f t="shared" si="2"/>
        <v>139109550</v>
      </c>
      <c r="P115" s="29">
        <f t="shared" si="3"/>
        <v>220808809.5</v>
      </c>
      <c r="Q115" s="29">
        <f t="shared" si="4"/>
        <v>81699259.52</v>
      </c>
      <c r="R115" s="4">
        <v>0.075</v>
      </c>
      <c r="S115" s="29">
        <f t="shared" si="5"/>
        <v>159975982.5</v>
      </c>
      <c r="T115" s="29">
        <f t="shared" si="6"/>
        <v>253930131</v>
      </c>
      <c r="U115" s="29">
        <f t="shared" si="7"/>
        <v>93954148.45</v>
      </c>
    </row>
    <row r="116" ht="14.25" customHeight="1">
      <c r="A116" s="4">
        <v>114.0</v>
      </c>
      <c r="B116" s="2" t="s">
        <v>411</v>
      </c>
      <c r="C116" s="2" t="s">
        <v>406</v>
      </c>
      <c r="D116" s="3">
        <v>2.8E9</v>
      </c>
      <c r="E116" s="2" t="s">
        <v>412</v>
      </c>
      <c r="F116" s="4" t="str">
        <f>VLOOKUP(B116,Raw_Data_Collection!$B$2:$F$215,5,FALSE)</f>
        <v>N</v>
      </c>
      <c r="G116" s="3" t="str">
        <f>VLOOKUP(B116,Raw_Data_Collection!$B$2:$J$215,6,FALSE)</f>
        <v/>
      </c>
      <c r="J116" s="2" t="str">
        <f>VLOOKUP(B116,Raw_Data_Collection!$B$2:$J$215,9,FALSE)</f>
        <v/>
      </c>
      <c r="K116" s="18">
        <f>VLOOKUP(B116,Real_Estate_Stats_Preferred!$A$2:$G$215,7,FALSE)</f>
        <v>17809000</v>
      </c>
      <c r="L116" s="18">
        <f t="shared" si="1"/>
        <v>2782191000</v>
      </c>
      <c r="M116" s="4">
        <v>0.37</v>
      </c>
      <c r="N116" s="4">
        <v>0.05</v>
      </c>
      <c r="O116" s="29">
        <f t="shared" si="2"/>
        <v>139109550</v>
      </c>
      <c r="P116" s="29">
        <f t="shared" si="3"/>
        <v>220808809.5</v>
      </c>
      <c r="Q116" s="29">
        <f t="shared" si="4"/>
        <v>81699259.52</v>
      </c>
      <c r="R116" s="4">
        <v>0.075</v>
      </c>
      <c r="S116" s="29">
        <f t="shared" si="5"/>
        <v>159975982.5</v>
      </c>
      <c r="T116" s="29">
        <f t="shared" si="6"/>
        <v>253930131</v>
      </c>
      <c r="U116" s="29">
        <f t="shared" si="7"/>
        <v>93954148.45</v>
      </c>
    </row>
    <row r="117" ht="14.25" customHeight="1">
      <c r="A117" s="4">
        <v>115.0</v>
      </c>
      <c r="B117" s="2" t="s">
        <v>413</v>
      </c>
      <c r="C117" s="2" t="s">
        <v>406</v>
      </c>
      <c r="D117" s="3">
        <v>2.8E9</v>
      </c>
      <c r="E117" s="2" t="s">
        <v>100</v>
      </c>
      <c r="F117" s="4" t="str">
        <f>VLOOKUP(B117,Raw_Data_Collection!$B$2:$F$215,5,FALSE)</f>
        <v>N</v>
      </c>
      <c r="G117" s="3" t="str">
        <f>VLOOKUP(B117,Raw_Data_Collection!$B$2:$J$215,6,FALSE)</f>
        <v/>
      </c>
      <c r="J117" s="2" t="str">
        <f>VLOOKUP(B117,Raw_Data_Collection!$B$2:$J$215,9,FALSE)</f>
        <v/>
      </c>
      <c r="K117" s="18">
        <f>VLOOKUP(B117,Real_Estate_Stats_Preferred!$A$2:$G$215,7,FALSE)</f>
        <v>17809000</v>
      </c>
      <c r="L117" s="18">
        <f t="shared" si="1"/>
        <v>2782191000</v>
      </c>
      <c r="M117" s="4">
        <v>0.37</v>
      </c>
      <c r="N117" s="4">
        <v>0.05</v>
      </c>
      <c r="O117" s="29">
        <f t="shared" si="2"/>
        <v>139109550</v>
      </c>
      <c r="P117" s="29">
        <f t="shared" si="3"/>
        <v>220808809.5</v>
      </c>
      <c r="Q117" s="29">
        <f t="shared" si="4"/>
        <v>81699259.52</v>
      </c>
      <c r="R117" s="4">
        <v>0.075</v>
      </c>
      <c r="S117" s="29">
        <f t="shared" si="5"/>
        <v>159975982.5</v>
      </c>
      <c r="T117" s="29">
        <f t="shared" si="6"/>
        <v>253930131</v>
      </c>
      <c r="U117" s="29">
        <f t="shared" si="7"/>
        <v>93954148.45</v>
      </c>
    </row>
    <row r="118" ht="14.25" customHeight="1">
      <c r="A118" s="4">
        <v>116.0</v>
      </c>
      <c r="B118" s="2" t="s">
        <v>414</v>
      </c>
      <c r="C118" s="2" t="s">
        <v>415</v>
      </c>
      <c r="D118" s="3">
        <v>2.7E9</v>
      </c>
      <c r="E118" s="2" t="s">
        <v>100</v>
      </c>
      <c r="F118" s="4" t="str">
        <f>VLOOKUP(B118,Raw_Data_Collection!$B$2:$F$215,5,FALSE)</f>
        <v>N</v>
      </c>
      <c r="G118" s="3" t="str">
        <f>VLOOKUP(B118,Raw_Data_Collection!$B$2:$J$215,6,FALSE)</f>
        <v/>
      </c>
      <c r="J118" s="2" t="str">
        <f>VLOOKUP(B118,Raw_Data_Collection!$B$2:$J$215,9,FALSE)</f>
        <v/>
      </c>
      <c r="K118" s="18">
        <f>VLOOKUP(B118,Real_Estate_Stats_Preferred!$A$2:$G$215,7,FALSE)</f>
        <v>17172964.29</v>
      </c>
      <c r="L118" s="18">
        <f t="shared" si="1"/>
        <v>2682827036</v>
      </c>
      <c r="M118" s="4">
        <v>0.37</v>
      </c>
      <c r="N118" s="4">
        <v>0.05</v>
      </c>
      <c r="O118" s="29">
        <f t="shared" si="2"/>
        <v>134141351.8</v>
      </c>
      <c r="P118" s="29">
        <f t="shared" si="3"/>
        <v>212922780.6</v>
      </c>
      <c r="Q118" s="29">
        <f t="shared" si="4"/>
        <v>78781428.83</v>
      </c>
      <c r="R118" s="4">
        <v>0.075</v>
      </c>
      <c r="S118" s="29">
        <f t="shared" si="5"/>
        <v>154262554.6</v>
      </c>
      <c r="T118" s="29">
        <f t="shared" si="6"/>
        <v>244861197.7</v>
      </c>
      <c r="U118" s="29">
        <f t="shared" si="7"/>
        <v>90598643.15</v>
      </c>
    </row>
    <row r="119" ht="14.25" customHeight="1">
      <c r="A119" s="4">
        <v>117.0</v>
      </c>
      <c r="B119" s="2" t="s">
        <v>416</v>
      </c>
      <c r="C119" s="2" t="s">
        <v>417</v>
      </c>
      <c r="D119" s="3">
        <v>2.6E9</v>
      </c>
      <c r="E119" s="2" t="s">
        <v>100</v>
      </c>
      <c r="F119" s="4" t="str">
        <f>VLOOKUP(B119,Raw_Data_Collection!$B$2:$F$215,5,FALSE)</f>
        <v>N</v>
      </c>
      <c r="G119" s="3" t="str">
        <f>VLOOKUP(B119,Raw_Data_Collection!$B$2:$J$215,6,FALSE)</f>
        <v/>
      </c>
      <c r="J119" s="2" t="str">
        <f>VLOOKUP(B119,Raw_Data_Collection!$B$2:$J$215,9,FALSE)</f>
        <v/>
      </c>
      <c r="K119" s="18">
        <f>VLOOKUP(B119,Real_Estate_Stats_Preferred!$A$2:$G$215,7,FALSE)</f>
        <v>16536928.57</v>
      </c>
      <c r="L119" s="18">
        <f t="shared" si="1"/>
        <v>2583463071</v>
      </c>
      <c r="M119" s="4">
        <v>0.37</v>
      </c>
      <c r="N119" s="4">
        <v>0.05</v>
      </c>
      <c r="O119" s="29">
        <f t="shared" si="2"/>
        <v>129173153.6</v>
      </c>
      <c r="P119" s="29">
        <f t="shared" si="3"/>
        <v>205036751.7</v>
      </c>
      <c r="Q119" s="29">
        <f t="shared" si="4"/>
        <v>75863598.13</v>
      </c>
      <c r="R119" s="4">
        <v>0.075</v>
      </c>
      <c r="S119" s="29">
        <f t="shared" si="5"/>
        <v>148549126.6</v>
      </c>
      <c r="T119" s="29">
        <f t="shared" si="6"/>
        <v>235792264.5</v>
      </c>
      <c r="U119" s="29">
        <f t="shared" si="7"/>
        <v>87243137.85</v>
      </c>
    </row>
    <row r="120" ht="14.25" customHeight="1">
      <c r="A120" s="4">
        <v>118.0</v>
      </c>
      <c r="B120" s="2" t="s">
        <v>418</v>
      </c>
      <c r="C120" s="2" t="s">
        <v>417</v>
      </c>
      <c r="D120" s="3">
        <v>2.6E9</v>
      </c>
      <c r="E120" s="2" t="s">
        <v>47</v>
      </c>
      <c r="F120" s="4" t="str">
        <f>VLOOKUP(B120,Raw_Data_Collection!$B$2:$F$215,5,FALSE)</f>
        <v>N</v>
      </c>
      <c r="G120" s="3">
        <f>VLOOKUP(B120,Raw_Data_Collection!$B$2:$J$215,6,FALSE)</f>
        <v>11761216</v>
      </c>
      <c r="J120" s="18">
        <f>VLOOKUP(B120,Raw_Data_Collection!$B$2:$J$215,9,FALSE)</f>
        <v>17143216</v>
      </c>
      <c r="K120" s="18">
        <f>VLOOKUP(B120,Real_Estate_Stats_Preferred!$A$2:$G$215,7,FALSE)</f>
        <v>17143216</v>
      </c>
      <c r="L120" s="18">
        <f t="shared" si="1"/>
        <v>2582856784</v>
      </c>
      <c r="M120" s="4">
        <v>0.37</v>
      </c>
      <c r="N120" s="4">
        <v>0.05</v>
      </c>
      <c r="O120" s="29">
        <f t="shared" si="2"/>
        <v>129142839.2</v>
      </c>
      <c r="P120" s="29">
        <f t="shared" si="3"/>
        <v>204988633.7</v>
      </c>
      <c r="Q120" s="29">
        <f t="shared" si="4"/>
        <v>75845794.45</v>
      </c>
      <c r="R120" s="4">
        <v>0.075</v>
      </c>
      <c r="S120" s="29">
        <f t="shared" si="5"/>
        <v>148514265.1</v>
      </c>
      <c r="T120" s="29">
        <f t="shared" si="6"/>
        <v>235736928.7</v>
      </c>
      <c r="U120" s="29">
        <f t="shared" si="7"/>
        <v>87222663.62</v>
      </c>
    </row>
    <row r="121" ht="14.25" customHeight="1">
      <c r="A121" s="4">
        <v>119.0</v>
      </c>
      <c r="B121" s="2" t="s">
        <v>422</v>
      </c>
      <c r="C121" s="2" t="s">
        <v>417</v>
      </c>
      <c r="D121" s="3">
        <v>2.6E9</v>
      </c>
      <c r="E121" s="2" t="s">
        <v>423</v>
      </c>
      <c r="F121" s="4" t="str">
        <f>VLOOKUP(B121,Raw_Data_Collection!$B$2:$F$215,5,FALSE)</f>
        <v>N</v>
      </c>
      <c r="G121" s="3">
        <f>VLOOKUP(B121,Raw_Data_Collection!$B$2:$J$215,6,FALSE)</f>
        <v>12300000</v>
      </c>
      <c r="J121" s="2" t="str">
        <f>VLOOKUP(B121,Raw_Data_Collection!$B$2:$J$215,9,FALSE)</f>
        <v/>
      </c>
      <c r="K121" s="18">
        <f>VLOOKUP(B121,Real_Estate_Stats_Preferred!$A$2:$G$215,7,FALSE)</f>
        <v>12300000</v>
      </c>
      <c r="L121" s="18">
        <f t="shared" si="1"/>
        <v>2587700000</v>
      </c>
      <c r="M121" s="4">
        <v>0.37</v>
      </c>
      <c r="N121" s="4">
        <v>0.05</v>
      </c>
      <c r="O121" s="29">
        <f t="shared" si="2"/>
        <v>129385000</v>
      </c>
      <c r="P121" s="29">
        <f t="shared" si="3"/>
        <v>205373015.9</v>
      </c>
      <c r="Q121" s="29">
        <f t="shared" si="4"/>
        <v>75988015.87</v>
      </c>
      <c r="R121" s="4">
        <v>0.075</v>
      </c>
      <c r="S121" s="29">
        <f t="shared" si="5"/>
        <v>148792750</v>
      </c>
      <c r="T121" s="29">
        <f t="shared" si="6"/>
        <v>236178968.3</v>
      </c>
      <c r="U121" s="29">
        <f t="shared" si="7"/>
        <v>87386218.25</v>
      </c>
    </row>
    <row r="122" ht="14.25" customHeight="1">
      <c r="A122" s="4">
        <v>120.0</v>
      </c>
      <c r="B122" s="2" t="s">
        <v>426</v>
      </c>
      <c r="C122" s="2" t="s">
        <v>417</v>
      </c>
      <c r="D122" s="3">
        <v>2.6E9</v>
      </c>
      <c r="E122" s="2" t="s">
        <v>427</v>
      </c>
      <c r="F122" s="4" t="str">
        <f>VLOOKUP(B122,Raw_Data_Collection!$B$2:$F$215,5,FALSE)</f>
        <v>N</v>
      </c>
      <c r="G122" s="3">
        <f>VLOOKUP(B122,Raw_Data_Collection!$B$2:$J$215,6,FALSE)</f>
        <v>10000000</v>
      </c>
      <c r="J122" s="2" t="str">
        <f>VLOOKUP(B122,Raw_Data_Collection!$B$2:$J$215,9,FALSE)</f>
        <v/>
      </c>
      <c r="K122" s="18">
        <f>VLOOKUP(B122,Real_Estate_Stats_Preferred!$A$2:$G$215,7,FALSE)</f>
        <v>10000000</v>
      </c>
      <c r="L122" s="18">
        <f t="shared" si="1"/>
        <v>2590000000</v>
      </c>
      <c r="M122" s="4">
        <v>0.37</v>
      </c>
      <c r="N122" s="4">
        <v>0.05</v>
      </c>
      <c r="O122" s="29">
        <f t="shared" si="2"/>
        <v>129500000</v>
      </c>
      <c r="P122" s="29">
        <f t="shared" si="3"/>
        <v>205555555.6</v>
      </c>
      <c r="Q122" s="29">
        <f t="shared" si="4"/>
        <v>76055555.56</v>
      </c>
      <c r="R122" s="4">
        <v>0.075</v>
      </c>
      <c r="S122" s="29">
        <f t="shared" si="5"/>
        <v>148925000</v>
      </c>
      <c r="T122" s="29">
        <f t="shared" si="6"/>
        <v>236388888.9</v>
      </c>
      <c r="U122" s="29">
        <f t="shared" si="7"/>
        <v>87463888.89</v>
      </c>
    </row>
    <row r="123" ht="14.25" customHeight="1">
      <c r="A123" s="4">
        <v>121.0</v>
      </c>
      <c r="B123" s="2" t="s">
        <v>430</v>
      </c>
      <c r="C123" s="2" t="s">
        <v>431</v>
      </c>
      <c r="D123" s="3">
        <v>2.5E9</v>
      </c>
      <c r="E123" s="2" t="s">
        <v>17</v>
      </c>
      <c r="F123" s="4" t="str">
        <f>VLOOKUP(B123,Raw_Data_Collection!$B$2:$F$215,5,FALSE)</f>
        <v>N</v>
      </c>
      <c r="G123" s="3" t="str">
        <f>VLOOKUP(B123,Raw_Data_Collection!$B$2:$J$215,6,FALSE)</f>
        <v/>
      </c>
      <c r="J123" s="2" t="str">
        <f>VLOOKUP(B123,Raw_Data_Collection!$B$2:$J$215,9,FALSE)</f>
        <v/>
      </c>
      <c r="K123" s="18">
        <f>VLOOKUP(B123,Real_Estate_Stats_Preferred!$A$2:$G$215,7,FALSE)</f>
        <v>15900892.86</v>
      </c>
      <c r="L123" s="18">
        <f t="shared" si="1"/>
        <v>2484099107</v>
      </c>
      <c r="M123" s="4">
        <v>0.37</v>
      </c>
      <c r="N123" s="4">
        <v>0.05</v>
      </c>
      <c r="O123" s="29">
        <f t="shared" si="2"/>
        <v>124204955.4</v>
      </c>
      <c r="P123" s="29">
        <f t="shared" si="3"/>
        <v>197150722.8</v>
      </c>
      <c r="Q123" s="29">
        <f t="shared" si="4"/>
        <v>72945767.43</v>
      </c>
      <c r="R123" s="4">
        <v>0.075</v>
      </c>
      <c r="S123" s="29">
        <f t="shared" si="5"/>
        <v>142835698.7</v>
      </c>
      <c r="T123" s="29">
        <f t="shared" si="6"/>
        <v>226723331.2</v>
      </c>
      <c r="U123" s="29">
        <f t="shared" si="7"/>
        <v>83887632.55</v>
      </c>
    </row>
    <row r="124" ht="14.25" customHeight="1">
      <c r="A124" s="4">
        <v>122.0</v>
      </c>
      <c r="B124" s="2" t="s">
        <v>432</v>
      </c>
      <c r="C124" s="2" t="s">
        <v>431</v>
      </c>
      <c r="D124" s="3">
        <v>2.5E9</v>
      </c>
      <c r="E124" s="2" t="s">
        <v>47</v>
      </c>
      <c r="F124" s="4" t="str">
        <f>VLOOKUP(B124,Raw_Data_Collection!$B$2:$F$215,5,FALSE)</f>
        <v>N</v>
      </c>
      <c r="G124" s="3">
        <f>VLOOKUP(B124,Raw_Data_Collection!$B$2:$J$215,6,FALSE)</f>
        <v>120000000</v>
      </c>
      <c r="H124" s="5" t="s">
        <v>433</v>
      </c>
      <c r="I124" s="4">
        <v>2022.0</v>
      </c>
      <c r="J124" s="2" t="str">
        <f>VLOOKUP(B124,Raw_Data_Collection!$B$2:$J$215,9,FALSE)</f>
        <v/>
      </c>
      <c r="K124" s="18">
        <f>VLOOKUP(B124,Real_Estate_Stats_Preferred!$A$2:$G$215,7,FALSE)</f>
        <v>120000000</v>
      </c>
      <c r="L124" s="18">
        <f t="shared" si="1"/>
        <v>2380000000</v>
      </c>
      <c r="M124" s="4">
        <v>0.37</v>
      </c>
      <c r="N124" s="4">
        <v>0.05</v>
      </c>
      <c r="O124" s="29">
        <f t="shared" si="2"/>
        <v>119000000</v>
      </c>
      <c r="P124" s="29">
        <f t="shared" si="3"/>
        <v>188888888.9</v>
      </c>
      <c r="Q124" s="29">
        <f t="shared" si="4"/>
        <v>69888888.89</v>
      </c>
      <c r="R124" s="4">
        <v>0.075</v>
      </c>
      <c r="S124" s="29">
        <f t="shared" si="5"/>
        <v>136850000</v>
      </c>
      <c r="T124" s="29">
        <f t="shared" si="6"/>
        <v>217222222.2</v>
      </c>
      <c r="U124" s="29">
        <f t="shared" si="7"/>
        <v>80372222.22</v>
      </c>
      <c r="V124" s="4"/>
      <c r="W124" s="4"/>
    </row>
    <row r="125" ht="14.25" customHeight="1">
      <c r="A125" s="4">
        <v>123.0</v>
      </c>
      <c r="B125" s="2" t="s">
        <v>434</v>
      </c>
      <c r="C125" s="2" t="s">
        <v>431</v>
      </c>
      <c r="D125" s="3">
        <v>2.5E9</v>
      </c>
      <c r="E125" s="2" t="s">
        <v>435</v>
      </c>
      <c r="F125" s="4" t="str">
        <f>VLOOKUP(B125,Raw_Data_Collection!$B$2:$F$215,5,FALSE)</f>
        <v>N</v>
      </c>
      <c r="G125" s="3">
        <f>VLOOKUP(B125,Raw_Data_Collection!$B$2:$J$215,6,FALSE)</f>
        <v>9918000</v>
      </c>
      <c r="J125" s="18">
        <f>VLOOKUP(B125,Raw_Data_Collection!$B$2:$J$215,9,FALSE)</f>
        <v>9918000</v>
      </c>
      <c r="K125" s="18">
        <f>VLOOKUP(B125,Real_Estate_Stats_Preferred!$A$2:$G$215,7,FALSE)</f>
        <v>15900892.86</v>
      </c>
      <c r="L125" s="18">
        <f t="shared" si="1"/>
        <v>2484099107</v>
      </c>
      <c r="M125" s="4">
        <v>0.37</v>
      </c>
      <c r="N125" s="4">
        <v>0.05</v>
      </c>
      <c r="O125" s="29">
        <f t="shared" si="2"/>
        <v>124204955.4</v>
      </c>
      <c r="P125" s="29">
        <f t="shared" si="3"/>
        <v>197150722.8</v>
      </c>
      <c r="Q125" s="29">
        <f t="shared" si="4"/>
        <v>72945767.43</v>
      </c>
      <c r="R125" s="4">
        <v>0.075</v>
      </c>
      <c r="S125" s="29">
        <f t="shared" si="5"/>
        <v>142835698.7</v>
      </c>
      <c r="T125" s="29">
        <f t="shared" si="6"/>
        <v>226723331.2</v>
      </c>
      <c r="U125" s="29">
        <f t="shared" si="7"/>
        <v>83887632.55</v>
      </c>
    </row>
    <row r="126" ht="14.25" customHeight="1">
      <c r="A126" s="4">
        <v>124.0</v>
      </c>
      <c r="B126" s="2" t="s">
        <v>438</v>
      </c>
      <c r="C126" s="2" t="s">
        <v>439</v>
      </c>
      <c r="D126" s="3">
        <v>2.4E9</v>
      </c>
      <c r="E126" s="2" t="s">
        <v>440</v>
      </c>
      <c r="F126" s="4" t="str">
        <f>VLOOKUP(B126,Raw_Data_Collection!$B$2:$F$215,5,FALSE)</f>
        <v>N</v>
      </c>
      <c r="G126" s="3">
        <f>VLOOKUP(B126,Raw_Data_Collection!$B$2:$J$215,6,FALSE)</f>
        <v>11668997</v>
      </c>
      <c r="J126" s="2" t="str">
        <f>VLOOKUP(B126,Raw_Data_Collection!$B$2:$J$215,9,FALSE)</f>
        <v/>
      </c>
      <c r="K126" s="18">
        <f>VLOOKUP(B126,Real_Estate_Stats_Preferred!$A$2:$G$215,7,FALSE)</f>
        <v>11668997</v>
      </c>
      <c r="L126" s="18">
        <f t="shared" si="1"/>
        <v>2388331003</v>
      </c>
      <c r="M126" s="4">
        <v>0.37</v>
      </c>
      <c r="N126" s="4">
        <v>0.05</v>
      </c>
      <c r="O126" s="29">
        <f t="shared" si="2"/>
        <v>119416550.2</v>
      </c>
      <c r="P126" s="29">
        <f t="shared" si="3"/>
        <v>189550079.6</v>
      </c>
      <c r="Q126" s="29">
        <f t="shared" si="4"/>
        <v>70133529.45</v>
      </c>
      <c r="R126" s="4">
        <v>0.075</v>
      </c>
      <c r="S126" s="29">
        <f t="shared" si="5"/>
        <v>137329032.7</v>
      </c>
      <c r="T126" s="29">
        <f t="shared" si="6"/>
        <v>217982591.5</v>
      </c>
      <c r="U126" s="29">
        <f t="shared" si="7"/>
        <v>80653558.87</v>
      </c>
    </row>
    <row r="127" ht="14.25" customHeight="1">
      <c r="A127" s="4">
        <v>125.0</v>
      </c>
      <c r="B127" s="2" t="s">
        <v>443</v>
      </c>
      <c r="C127" s="2" t="s">
        <v>439</v>
      </c>
      <c r="D127" s="3">
        <v>2.4E9</v>
      </c>
      <c r="E127" s="2" t="s">
        <v>17</v>
      </c>
      <c r="F127" s="4" t="str">
        <f>VLOOKUP(B127,Raw_Data_Collection!$B$2:$F$215,5,FALSE)</f>
        <v>N</v>
      </c>
      <c r="G127" s="3" t="str">
        <f>VLOOKUP(B127,Raw_Data_Collection!$B$2:$J$215,6,FALSE)</f>
        <v/>
      </c>
      <c r="J127" s="2" t="str">
        <f>VLOOKUP(B127,Raw_Data_Collection!$B$2:$J$215,9,FALSE)</f>
        <v/>
      </c>
      <c r="K127" s="18">
        <f>VLOOKUP(B127,Real_Estate_Stats_Preferred!$A$2:$G$215,7,FALSE)</f>
        <v>15264857.14</v>
      </c>
      <c r="L127" s="18">
        <f t="shared" si="1"/>
        <v>2384735143</v>
      </c>
      <c r="M127" s="4">
        <v>0.37</v>
      </c>
      <c r="N127" s="4">
        <v>0.05</v>
      </c>
      <c r="O127" s="29">
        <f t="shared" si="2"/>
        <v>119236757.1</v>
      </c>
      <c r="P127" s="29">
        <f t="shared" si="3"/>
        <v>189264693.9</v>
      </c>
      <c r="Q127" s="29">
        <f t="shared" si="4"/>
        <v>70027936.73</v>
      </c>
      <c r="R127" s="4">
        <v>0.075</v>
      </c>
      <c r="S127" s="29">
        <f t="shared" si="5"/>
        <v>137122270.7</v>
      </c>
      <c r="T127" s="29">
        <f t="shared" si="6"/>
        <v>217654398</v>
      </c>
      <c r="U127" s="29">
        <f t="shared" si="7"/>
        <v>80532127.24</v>
      </c>
    </row>
    <row r="128" ht="14.25" customHeight="1">
      <c r="A128" s="4">
        <v>126.0</v>
      </c>
      <c r="B128" s="2" t="s">
        <v>445</v>
      </c>
      <c r="C128" s="2" t="s">
        <v>439</v>
      </c>
      <c r="D128" s="3">
        <v>2.4E9</v>
      </c>
      <c r="E128" s="2" t="s">
        <v>17</v>
      </c>
      <c r="F128" s="4" t="str">
        <f>VLOOKUP(B128,Raw_Data_Collection!$B$2:$F$215,5,FALSE)</f>
        <v>N</v>
      </c>
      <c r="G128" s="3">
        <f>VLOOKUP(B128,Raw_Data_Collection!$B$2:$J$215,6,FALSE)</f>
        <v>13339211</v>
      </c>
      <c r="J128" s="2" t="str">
        <f>VLOOKUP(B128,Raw_Data_Collection!$B$2:$J$215,9,FALSE)</f>
        <v/>
      </c>
      <c r="K128" s="18">
        <f>VLOOKUP(B128,Real_Estate_Stats_Preferred!$A$2:$G$215,7,FALSE)</f>
        <v>13339211</v>
      </c>
      <c r="L128" s="18">
        <f t="shared" si="1"/>
        <v>2386660789</v>
      </c>
      <c r="M128" s="4">
        <v>0.37</v>
      </c>
      <c r="N128" s="4">
        <v>0.05</v>
      </c>
      <c r="O128" s="29">
        <f t="shared" si="2"/>
        <v>119333039.5</v>
      </c>
      <c r="P128" s="29">
        <f t="shared" si="3"/>
        <v>189417522.9</v>
      </c>
      <c r="Q128" s="29">
        <f t="shared" si="4"/>
        <v>70084483.49</v>
      </c>
      <c r="R128" s="4">
        <v>0.075</v>
      </c>
      <c r="S128" s="29">
        <f t="shared" si="5"/>
        <v>137232995.4</v>
      </c>
      <c r="T128" s="29">
        <f t="shared" si="6"/>
        <v>217830151.4</v>
      </c>
      <c r="U128" s="29">
        <f t="shared" si="7"/>
        <v>80597156.01</v>
      </c>
    </row>
    <row r="129" ht="14.25" customHeight="1">
      <c r="A129" s="4">
        <v>127.0</v>
      </c>
      <c r="B129" s="2" t="s">
        <v>448</v>
      </c>
      <c r="C129" s="2" t="s">
        <v>449</v>
      </c>
      <c r="D129" s="3">
        <v>2.3E9</v>
      </c>
      <c r="E129" s="2" t="s">
        <v>47</v>
      </c>
      <c r="F129" s="4" t="str">
        <f>VLOOKUP(B129,Raw_Data_Collection!$B$2:$F$215,5,FALSE)</f>
        <v>N</v>
      </c>
      <c r="G129" s="3">
        <f>VLOOKUP(B129,Raw_Data_Collection!$B$2:$J$215,6,FALSE)</f>
        <v>8683316</v>
      </c>
      <c r="J129" s="2" t="str">
        <f>VLOOKUP(B129,Raw_Data_Collection!$B$2:$J$215,9,FALSE)</f>
        <v/>
      </c>
      <c r="K129" s="18">
        <f>VLOOKUP(B129,Real_Estate_Stats_Preferred!$A$2:$G$215,7,FALSE)</f>
        <v>8683316</v>
      </c>
      <c r="L129" s="18">
        <f t="shared" si="1"/>
        <v>2291316684</v>
      </c>
      <c r="M129" s="4">
        <v>0.37</v>
      </c>
      <c r="N129" s="4">
        <v>0.05</v>
      </c>
      <c r="O129" s="29">
        <f t="shared" si="2"/>
        <v>114565834.2</v>
      </c>
      <c r="P129" s="29">
        <f t="shared" si="3"/>
        <v>181850530.5</v>
      </c>
      <c r="Q129" s="29">
        <f t="shared" si="4"/>
        <v>67284696.28</v>
      </c>
      <c r="R129" s="4">
        <v>0.075</v>
      </c>
      <c r="S129" s="29">
        <f t="shared" si="5"/>
        <v>131750709.3</v>
      </c>
      <c r="T129" s="29">
        <f t="shared" si="6"/>
        <v>209128110</v>
      </c>
      <c r="U129" s="29">
        <f t="shared" si="7"/>
        <v>77377400.72</v>
      </c>
    </row>
    <row r="130" ht="14.25" customHeight="1">
      <c r="A130" s="4">
        <v>128.0</v>
      </c>
      <c r="B130" s="2" t="s">
        <v>452</v>
      </c>
      <c r="C130" s="2" t="s">
        <v>449</v>
      </c>
      <c r="D130" s="3">
        <v>2.3E9</v>
      </c>
      <c r="E130" s="2" t="s">
        <v>47</v>
      </c>
      <c r="F130" s="4" t="str">
        <f>VLOOKUP(B130,Raw_Data_Collection!$B$2:$F$215,5,FALSE)</f>
        <v>N</v>
      </c>
      <c r="G130" s="3">
        <f>VLOOKUP(B130,Raw_Data_Collection!$B$2:$J$215,6,FALSE)</f>
        <v>68820000</v>
      </c>
      <c r="H130" s="5" t="s">
        <v>453</v>
      </c>
      <c r="I130" s="4">
        <v>2018.0</v>
      </c>
      <c r="J130" s="2" t="str">
        <f>VLOOKUP(B130,Raw_Data_Collection!$B$2:$J$215,9,FALSE)</f>
        <v/>
      </c>
      <c r="K130" s="18">
        <f>VLOOKUP(B130,Real_Estate_Stats_Preferred!$A$2:$G$215,7,FALSE)</f>
        <v>68820000</v>
      </c>
      <c r="L130" s="18">
        <f t="shared" si="1"/>
        <v>2231180000</v>
      </c>
      <c r="M130" s="4">
        <v>0.37</v>
      </c>
      <c r="N130" s="4">
        <v>0.05</v>
      </c>
      <c r="O130" s="29">
        <f t="shared" si="2"/>
        <v>111559000</v>
      </c>
      <c r="P130" s="29">
        <f t="shared" si="3"/>
        <v>177077777.8</v>
      </c>
      <c r="Q130" s="29">
        <f t="shared" si="4"/>
        <v>65518777.78</v>
      </c>
      <c r="R130" s="4">
        <v>0.075</v>
      </c>
      <c r="S130" s="29">
        <f t="shared" si="5"/>
        <v>128292850</v>
      </c>
      <c r="T130" s="29">
        <f t="shared" si="6"/>
        <v>203639444.4</v>
      </c>
      <c r="U130" s="29">
        <f t="shared" si="7"/>
        <v>75346594.44</v>
      </c>
      <c r="V130" s="4"/>
      <c r="W130" s="4"/>
    </row>
    <row r="131" ht="14.25" customHeight="1">
      <c r="A131" s="4">
        <v>129.0</v>
      </c>
      <c r="B131" s="2" t="s">
        <v>454</v>
      </c>
      <c r="C131" s="2" t="s">
        <v>449</v>
      </c>
      <c r="D131" s="3">
        <v>2.3E9</v>
      </c>
      <c r="E131" s="2" t="s">
        <v>354</v>
      </c>
      <c r="F131" s="4" t="str">
        <f>VLOOKUP(B131,Raw_Data_Collection!$B$2:$F$215,5,FALSE)</f>
        <v>N</v>
      </c>
      <c r="G131" s="3">
        <f>VLOOKUP(B131,Raw_Data_Collection!$B$2:$J$215,6,FALSE)</f>
        <v>11000000</v>
      </c>
      <c r="H131" s="5" t="s">
        <v>455</v>
      </c>
      <c r="I131" s="4">
        <v>2026.0</v>
      </c>
      <c r="J131" s="2" t="str">
        <f>VLOOKUP(B131,Raw_Data_Collection!$B$2:$J$215,9,FALSE)</f>
        <v/>
      </c>
      <c r="K131" s="18">
        <f>VLOOKUP(B131,Real_Estate_Stats_Preferred!$A$2:$G$215,7,FALSE)</f>
        <v>11000000</v>
      </c>
      <c r="L131" s="18">
        <f t="shared" si="1"/>
        <v>2289000000</v>
      </c>
      <c r="M131" s="4">
        <v>0.37</v>
      </c>
      <c r="N131" s="4">
        <v>0.05</v>
      </c>
      <c r="O131" s="29">
        <f t="shared" si="2"/>
        <v>114450000</v>
      </c>
      <c r="P131" s="29">
        <f t="shared" si="3"/>
        <v>181666666.7</v>
      </c>
      <c r="Q131" s="29">
        <f t="shared" si="4"/>
        <v>67216666.67</v>
      </c>
      <c r="R131" s="4">
        <v>0.075</v>
      </c>
      <c r="S131" s="29">
        <f t="shared" si="5"/>
        <v>131617500</v>
      </c>
      <c r="T131" s="29">
        <f t="shared" si="6"/>
        <v>208916666.7</v>
      </c>
      <c r="U131" s="29">
        <f t="shared" si="7"/>
        <v>77299166.67</v>
      </c>
      <c r="V131" s="4"/>
      <c r="W131" s="4"/>
    </row>
    <row r="132" ht="14.25" customHeight="1">
      <c r="A132" s="4">
        <v>130.0</v>
      </c>
      <c r="B132" s="2" t="s">
        <v>456</v>
      </c>
      <c r="C132" s="2" t="s">
        <v>449</v>
      </c>
      <c r="D132" s="3">
        <v>2.3E9</v>
      </c>
      <c r="E132" s="2" t="s">
        <v>90</v>
      </c>
      <c r="F132" s="4" t="str">
        <f>VLOOKUP(B132,Raw_Data_Collection!$B$2:$F$215,5,FALSE)</f>
        <v>N</v>
      </c>
      <c r="G132" s="3">
        <f>VLOOKUP(B132,Raw_Data_Collection!$B$2:$J$215,6,FALSE)</f>
        <v>19800000</v>
      </c>
      <c r="H132" s="5" t="s">
        <v>457</v>
      </c>
      <c r="I132" s="4">
        <v>2007.0</v>
      </c>
      <c r="J132" s="2" t="str">
        <f>VLOOKUP(B132,Raw_Data_Collection!$B$2:$J$215,9,FALSE)</f>
        <v/>
      </c>
      <c r="K132" s="18">
        <f>VLOOKUP(B132,Real_Estate_Stats_Preferred!$A$2:$G$215,7,FALSE)</f>
        <v>19800000</v>
      </c>
      <c r="L132" s="18">
        <f t="shared" si="1"/>
        <v>2280200000</v>
      </c>
      <c r="M132" s="4">
        <v>0.37</v>
      </c>
      <c r="N132" s="4">
        <v>0.05</v>
      </c>
      <c r="O132" s="29">
        <f t="shared" si="2"/>
        <v>114010000</v>
      </c>
      <c r="P132" s="29">
        <f t="shared" si="3"/>
        <v>180968254</v>
      </c>
      <c r="Q132" s="29">
        <f t="shared" si="4"/>
        <v>66958253.97</v>
      </c>
      <c r="R132" s="4">
        <v>0.075</v>
      </c>
      <c r="S132" s="29">
        <f t="shared" si="5"/>
        <v>131111500</v>
      </c>
      <c r="T132" s="29">
        <f t="shared" si="6"/>
        <v>208113492.1</v>
      </c>
      <c r="U132" s="29">
        <f t="shared" si="7"/>
        <v>77001992.06</v>
      </c>
      <c r="V132" s="4"/>
      <c r="W132" s="4"/>
    </row>
    <row r="133" ht="14.25" customHeight="1">
      <c r="A133" s="4">
        <v>131.0</v>
      </c>
      <c r="B133" s="2" t="s">
        <v>458</v>
      </c>
      <c r="C133" s="2" t="s">
        <v>449</v>
      </c>
      <c r="D133" s="3">
        <v>2.3E9</v>
      </c>
      <c r="E133" s="2" t="s">
        <v>100</v>
      </c>
      <c r="F133" s="4" t="str">
        <f>VLOOKUP(B133,Raw_Data_Collection!$B$2:$F$215,5,FALSE)</f>
        <v>N</v>
      </c>
      <c r="G133" s="3" t="str">
        <f>VLOOKUP(B133,Raw_Data_Collection!$B$2:$J$215,6,FALSE)</f>
        <v/>
      </c>
      <c r="J133" s="2" t="str">
        <f>VLOOKUP(B133,Raw_Data_Collection!$B$2:$J$215,9,FALSE)</f>
        <v/>
      </c>
      <c r="K133" s="18">
        <f>VLOOKUP(B133,Real_Estate_Stats_Preferred!$A$2:$G$215,7,FALSE)</f>
        <v>14628821.43</v>
      </c>
      <c r="L133" s="18">
        <f t="shared" si="1"/>
        <v>2285371179</v>
      </c>
      <c r="M133" s="4">
        <v>0.37</v>
      </c>
      <c r="N133" s="4">
        <v>0.05</v>
      </c>
      <c r="O133" s="29">
        <f t="shared" si="2"/>
        <v>114268558.9</v>
      </c>
      <c r="P133" s="29">
        <f t="shared" si="3"/>
        <v>181378665</v>
      </c>
      <c r="Q133" s="29">
        <f t="shared" si="4"/>
        <v>67110106.04</v>
      </c>
      <c r="R133" s="4">
        <v>0.075</v>
      </c>
      <c r="S133" s="29">
        <f t="shared" si="5"/>
        <v>131408842.8</v>
      </c>
      <c r="T133" s="29">
        <f t="shared" si="6"/>
        <v>208585464.7</v>
      </c>
      <c r="U133" s="29">
        <f t="shared" si="7"/>
        <v>77176621.94</v>
      </c>
    </row>
    <row r="134" ht="14.25" customHeight="1">
      <c r="A134" s="4">
        <v>132.0</v>
      </c>
      <c r="B134" s="2" t="s">
        <v>459</v>
      </c>
      <c r="C134" s="2" t="s">
        <v>449</v>
      </c>
      <c r="D134" s="3">
        <v>2.3E9</v>
      </c>
      <c r="E134" s="2" t="s">
        <v>440</v>
      </c>
      <c r="F134" s="4" t="str">
        <f>VLOOKUP(B134,Raw_Data_Collection!$B$2:$F$215,5,FALSE)</f>
        <v>N</v>
      </c>
      <c r="G134" s="3">
        <f>VLOOKUP(B134,Raw_Data_Collection!$B$2:$J$215,6,FALSE)</f>
        <v>9411000</v>
      </c>
      <c r="J134" s="2" t="str">
        <f>VLOOKUP(B134,Raw_Data_Collection!$B$2:$J$215,9,FALSE)</f>
        <v/>
      </c>
      <c r="K134" s="18">
        <f>VLOOKUP(B134,Real_Estate_Stats_Preferred!$A$2:$G$215,7,FALSE)</f>
        <v>9411000</v>
      </c>
      <c r="L134" s="18">
        <f t="shared" si="1"/>
        <v>2290589000</v>
      </c>
      <c r="M134" s="4">
        <v>0.37</v>
      </c>
      <c r="N134" s="4">
        <v>0.05</v>
      </c>
      <c r="O134" s="29">
        <f t="shared" si="2"/>
        <v>114529450</v>
      </c>
      <c r="P134" s="29">
        <f t="shared" si="3"/>
        <v>181792777.8</v>
      </c>
      <c r="Q134" s="29">
        <f t="shared" si="4"/>
        <v>67263327.78</v>
      </c>
      <c r="R134" s="4">
        <v>0.075</v>
      </c>
      <c r="S134" s="29">
        <f t="shared" si="5"/>
        <v>131708867.5</v>
      </c>
      <c r="T134" s="29">
        <f t="shared" si="6"/>
        <v>209061694.4</v>
      </c>
      <c r="U134" s="29">
        <f t="shared" si="7"/>
        <v>77352826.94</v>
      </c>
    </row>
    <row r="135" ht="14.25" customHeight="1">
      <c r="A135" s="4">
        <v>133.0</v>
      </c>
      <c r="B135" s="2" t="s">
        <v>462</v>
      </c>
      <c r="C135" s="2" t="s">
        <v>463</v>
      </c>
      <c r="D135" s="3">
        <v>2.2E9</v>
      </c>
      <c r="E135" s="2" t="s">
        <v>47</v>
      </c>
      <c r="F135" s="4" t="str">
        <f>VLOOKUP(B135,Raw_Data_Collection!$B$2:$F$215,5,FALSE)</f>
        <v>N</v>
      </c>
      <c r="G135" s="3" t="str">
        <f>VLOOKUP(B135,Raw_Data_Collection!$B$2:$J$215,6,FALSE)</f>
        <v/>
      </c>
      <c r="J135" s="2" t="str">
        <f>VLOOKUP(B135,Raw_Data_Collection!$B$2:$J$215,9,FALSE)</f>
        <v/>
      </c>
      <c r="K135" s="18">
        <f>VLOOKUP(B135,Real_Estate_Stats_Preferred!$A$2:$G$215,7,FALSE)</f>
        <v>13992785.71</v>
      </c>
      <c r="L135" s="18">
        <f t="shared" si="1"/>
        <v>2186007214</v>
      </c>
      <c r="M135" s="4">
        <v>0.37</v>
      </c>
      <c r="N135" s="4">
        <v>0.05</v>
      </c>
      <c r="O135" s="29">
        <f t="shared" si="2"/>
        <v>109300360.7</v>
      </c>
      <c r="P135" s="29">
        <f t="shared" si="3"/>
        <v>173492636.1</v>
      </c>
      <c r="Q135" s="29">
        <f t="shared" si="4"/>
        <v>64192275.34</v>
      </c>
      <c r="R135" s="4">
        <v>0.075</v>
      </c>
      <c r="S135" s="29">
        <f t="shared" si="5"/>
        <v>125695414.8</v>
      </c>
      <c r="T135" s="29">
        <f t="shared" si="6"/>
        <v>199516531.5</v>
      </c>
      <c r="U135" s="29">
        <f t="shared" si="7"/>
        <v>73821116.64</v>
      </c>
    </row>
    <row r="136" ht="14.25" customHeight="1">
      <c r="A136" s="4">
        <v>134.0</v>
      </c>
      <c r="B136" s="2" t="s">
        <v>464</v>
      </c>
      <c r="C136" s="2" t="s">
        <v>463</v>
      </c>
      <c r="D136" s="3">
        <v>2.2E9</v>
      </c>
      <c r="E136" s="2" t="s">
        <v>90</v>
      </c>
      <c r="F136" s="4" t="str">
        <f>VLOOKUP(B136,Raw_Data_Collection!$B$2:$F$215,5,FALSE)</f>
        <v>N</v>
      </c>
      <c r="G136" s="3">
        <f>VLOOKUP(B136,Raw_Data_Collection!$B$2:$J$215,6,FALSE)</f>
        <v>44000000</v>
      </c>
      <c r="J136" s="18">
        <f>VLOOKUP(B136,Raw_Data_Collection!$B$2:$J$215,9,FALSE)</f>
        <v>54062200</v>
      </c>
      <c r="K136" s="18">
        <f>VLOOKUP(B136,Real_Estate_Stats_Preferred!$A$2:$G$215,7,FALSE)</f>
        <v>13992785.71</v>
      </c>
      <c r="L136" s="18">
        <f t="shared" si="1"/>
        <v>2186007214</v>
      </c>
      <c r="M136" s="4">
        <v>0.37</v>
      </c>
      <c r="N136" s="4">
        <v>0.05</v>
      </c>
      <c r="O136" s="29">
        <f t="shared" si="2"/>
        <v>109300360.7</v>
      </c>
      <c r="P136" s="29">
        <f t="shared" si="3"/>
        <v>173492636.1</v>
      </c>
      <c r="Q136" s="29">
        <f t="shared" si="4"/>
        <v>64192275.34</v>
      </c>
      <c r="R136" s="4">
        <v>0.075</v>
      </c>
      <c r="S136" s="29">
        <f t="shared" si="5"/>
        <v>125695414.8</v>
      </c>
      <c r="T136" s="29">
        <f t="shared" si="6"/>
        <v>199516531.5</v>
      </c>
      <c r="U136" s="29">
        <f t="shared" si="7"/>
        <v>73821116.64</v>
      </c>
    </row>
    <row r="137" ht="14.25" customHeight="1">
      <c r="A137" s="4">
        <v>135.0</v>
      </c>
      <c r="B137" s="2" t="s">
        <v>469</v>
      </c>
      <c r="C137" s="2" t="s">
        <v>463</v>
      </c>
      <c r="D137" s="3">
        <v>2.2E9</v>
      </c>
      <c r="E137" s="2" t="s">
        <v>47</v>
      </c>
      <c r="F137" s="4" t="str">
        <f>VLOOKUP(B137,Raw_Data_Collection!$B$2:$F$215,5,FALSE)</f>
        <v>N</v>
      </c>
      <c r="G137" s="3">
        <f>VLOOKUP(B137,Raw_Data_Collection!$B$2:$J$215,6,FALSE)</f>
        <v>38750000</v>
      </c>
      <c r="H137" s="5" t="s">
        <v>470</v>
      </c>
      <c r="I137" s="4">
        <v>2017.0</v>
      </c>
      <c r="J137" s="2" t="str">
        <f>VLOOKUP(B137,Raw_Data_Collection!$B$2:$J$215,9,FALSE)</f>
        <v/>
      </c>
      <c r="K137" s="18">
        <f>VLOOKUP(B137,Real_Estate_Stats_Preferred!$A$2:$G$215,7,FALSE)</f>
        <v>38750000</v>
      </c>
      <c r="L137" s="18">
        <f t="shared" si="1"/>
        <v>2161250000</v>
      </c>
      <c r="M137" s="4">
        <v>0.37</v>
      </c>
      <c r="N137" s="4">
        <v>0.05</v>
      </c>
      <c r="O137" s="29">
        <f t="shared" si="2"/>
        <v>108062500</v>
      </c>
      <c r="P137" s="29">
        <f t="shared" si="3"/>
        <v>171527777.8</v>
      </c>
      <c r="Q137" s="29">
        <f t="shared" si="4"/>
        <v>63465277.78</v>
      </c>
      <c r="R137" s="4">
        <v>0.075</v>
      </c>
      <c r="S137" s="29">
        <f t="shared" si="5"/>
        <v>124271875</v>
      </c>
      <c r="T137" s="29">
        <f t="shared" si="6"/>
        <v>197256944.4</v>
      </c>
      <c r="U137" s="29">
        <f t="shared" si="7"/>
        <v>72985069.44</v>
      </c>
      <c r="V137" s="4"/>
      <c r="W137" s="4"/>
    </row>
    <row r="138" ht="14.25" customHeight="1">
      <c r="A138" s="4">
        <v>136.0</v>
      </c>
      <c r="B138" s="2" t="s">
        <v>471</v>
      </c>
      <c r="C138" s="2" t="s">
        <v>463</v>
      </c>
      <c r="D138" s="3">
        <v>2.2E9</v>
      </c>
      <c r="E138" s="2" t="s">
        <v>100</v>
      </c>
      <c r="F138" s="4" t="str">
        <f>VLOOKUP(B138,Raw_Data_Collection!$B$2:$F$215,5,FALSE)</f>
        <v>N</v>
      </c>
      <c r="G138" s="3" t="str">
        <f>VLOOKUP(B138,Raw_Data_Collection!$B$2:$J$215,6,FALSE)</f>
        <v/>
      </c>
      <c r="J138" s="2" t="str">
        <f>VLOOKUP(B138,Raw_Data_Collection!$B$2:$J$215,9,FALSE)</f>
        <v/>
      </c>
      <c r="K138" s="18">
        <f>VLOOKUP(B138,Real_Estate_Stats_Preferred!$A$2:$G$215,7,FALSE)</f>
        <v>13992785.71</v>
      </c>
      <c r="L138" s="18">
        <f t="shared" si="1"/>
        <v>2186007214</v>
      </c>
      <c r="M138" s="4">
        <v>0.37</v>
      </c>
      <c r="N138" s="4">
        <v>0.05</v>
      </c>
      <c r="O138" s="29">
        <f t="shared" si="2"/>
        <v>109300360.7</v>
      </c>
      <c r="P138" s="29">
        <f t="shared" si="3"/>
        <v>173492636.1</v>
      </c>
      <c r="Q138" s="29">
        <f t="shared" si="4"/>
        <v>64192275.34</v>
      </c>
      <c r="R138" s="4">
        <v>0.075</v>
      </c>
      <c r="S138" s="29">
        <f t="shared" si="5"/>
        <v>125695414.8</v>
      </c>
      <c r="T138" s="29">
        <f t="shared" si="6"/>
        <v>199516531.5</v>
      </c>
      <c r="U138" s="29">
        <f t="shared" si="7"/>
        <v>73821116.64</v>
      </c>
    </row>
    <row r="139" ht="14.25" customHeight="1">
      <c r="A139" s="4">
        <v>137.0</v>
      </c>
      <c r="B139" s="2" t="s">
        <v>473</v>
      </c>
      <c r="C139" s="2" t="s">
        <v>463</v>
      </c>
      <c r="D139" s="3">
        <v>2.2E9</v>
      </c>
      <c r="E139" s="2" t="s">
        <v>113</v>
      </c>
      <c r="F139" s="4" t="str">
        <f>VLOOKUP(B139,Raw_Data_Collection!$B$2:$F$215,5,FALSE)</f>
        <v>N</v>
      </c>
      <c r="G139" s="3">
        <f>VLOOKUP(B139,Raw_Data_Collection!$B$2:$J$215,6,FALSE)</f>
        <v>6490000</v>
      </c>
      <c r="J139" s="2" t="str">
        <f>VLOOKUP(B139,Raw_Data_Collection!$B$2:$J$215,9,FALSE)</f>
        <v/>
      </c>
      <c r="K139" s="18">
        <f>VLOOKUP(B139,Real_Estate_Stats_Preferred!$A$2:$G$215,7,FALSE)</f>
        <v>13992785.71</v>
      </c>
      <c r="L139" s="18">
        <f t="shared" si="1"/>
        <v>2186007214</v>
      </c>
      <c r="M139" s="4">
        <v>0.37</v>
      </c>
      <c r="N139" s="4">
        <v>0.05</v>
      </c>
      <c r="O139" s="29">
        <f t="shared" si="2"/>
        <v>109300360.7</v>
      </c>
      <c r="P139" s="29">
        <f t="shared" si="3"/>
        <v>173492636.1</v>
      </c>
      <c r="Q139" s="29">
        <f t="shared" si="4"/>
        <v>64192275.34</v>
      </c>
      <c r="R139" s="4">
        <v>0.075</v>
      </c>
      <c r="S139" s="29">
        <f t="shared" si="5"/>
        <v>125695414.8</v>
      </c>
      <c r="T139" s="29">
        <f t="shared" si="6"/>
        <v>199516531.5</v>
      </c>
      <c r="U139" s="29">
        <f t="shared" si="7"/>
        <v>73821116.64</v>
      </c>
    </row>
    <row r="140" ht="14.25" customHeight="1">
      <c r="A140" s="4">
        <v>138.0</v>
      </c>
      <c r="B140" s="2" t="s">
        <v>475</v>
      </c>
      <c r="C140" s="2" t="s">
        <v>463</v>
      </c>
      <c r="D140" s="3">
        <v>2.2E9</v>
      </c>
      <c r="E140" s="2" t="s">
        <v>90</v>
      </c>
      <c r="F140" s="4" t="str">
        <f>VLOOKUP(B140,Raw_Data_Collection!$B$2:$F$215,5,FALSE)</f>
        <v>N</v>
      </c>
      <c r="G140" s="3">
        <f>VLOOKUP(B140,Raw_Data_Collection!$B$2:$J$215,6,FALSE)</f>
        <v>30000000</v>
      </c>
      <c r="H140" s="5" t="s">
        <v>476</v>
      </c>
      <c r="I140" s="4">
        <v>2019.0</v>
      </c>
      <c r="J140" s="2" t="str">
        <f>VLOOKUP(B140,Raw_Data_Collection!$B$2:$J$215,9,FALSE)</f>
        <v/>
      </c>
      <c r="K140" s="18">
        <f>VLOOKUP(B140,Real_Estate_Stats_Preferred!$A$2:$G$215,7,FALSE)</f>
        <v>30000000</v>
      </c>
      <c r="L140" s="18">
        <f t="shared" si="1"/>
        <v>2170000000</v>
      </c>
      <c r="M140" s="4">
        <v>0.37</v>
      </c>
      <c r="N140" s="4">
        <v>0.05</v>
      </c>
      <c r="O140" s="29">
        <f t="shared" si="2"/>
        <v>108500000</v>
      </c>
      <c r="P140" s="29">
        <f t="shared" si="3"/>
        <v>172222222.2</v>
      </c>
      <c r="Q140" s="29">
        <f t="shared" si="4"/>
        <v>63722222.22</v>
      </c>
      <c r="R140" s="4">
        <v>0.075</v>
      </c>
      <c r="S140" s="29">
        <f t="shared" si="5"/>
        <v>124775000</v>
      </c>
      <c r="T140" s="29">
        <f t="shared" si="6"/>
        <v>198055555.6</v>
      </c>
      <c r="U140" s="29">
        <f t="shared" si="7"/>
        <v>73280555.56</v>
      </c>
      <c r="V140" s="4"/>
      <c r="W140" s="4"/>
    </row>
    <row r="141" ht="14.25" customHeight="1">
      <c r="A141" s="4">
        <v>139.0</v>
      </c>
      <c r="B141" s="2" t="s">
        <v>477</v>
      </c>
      <c r="C141" s="2" t="s">
        <v>463</v>
      </c>
      <c r="D141" s="3">
        <v>2.2E9</v>
      </c>
      <c r="E141" s="2" t="s">
        <v>100</v>
      </c>
      <c r="F141" s="4" t="str">
        <f>VLOOKUP(B141,Raw_Data_Collection!$B$2:$F$215,5,FALSE)</f>
        <v>N</v>
      </c>
      <c r="G141" s="3" t="str">
        <f>VLOOKUP(B141,Raw_Data_Collection!$B$2:$J$215,6,FALSE)</f>
        <v/>
      </c>
      <c r="J141" s="2" t="str">
        <f>VLOOKUP(B141,Raw_Data_Collection!$B$2:$J$215,9,FALSE)</f>
        <v/>
      </c>
      <c r="K141" s="18">
        <f>VLOOKUP(B141,Real_Estate_Stats_Preferred!$A$2:$G$215,7,FALSE)</f>
        <v>13992785.71</v>
      </c>
      <c r="L141" s="18">
        <f t="shared" si="1"/>
        <v>2186007214</v>
      </c>
      <c r="M141" s="4">
        <v>0.37</v>
      </c>
      <c r="N141" s="4">
        <v>0.05</v>
      </c>
      <c r="O141" s="29">
        <f t="shared" si="2"/>
        <v>109300360.7</v>
      </c>
      <c r="P141" s="29">
        <f t="shared" si="3"/>
        <v>173492636.1</v>
      </c>
      <c r="Q141" s="29">
        <f t="shared" si="4"/>
        <v>64192275.34</v>
      </c>
      <c r="R141" s="4">
        <v>0.075</v>
      </c>
      <c r="S141" s="29">
        <f t="shared" si="5"/>
        <v>125695414.8</v>
      </c>
      <c r="T141" s="29">
        <f t="shared" si="6"/>
        <v>199516531.5</v>
      </c>
      <c r="U141" s="29">
        <f t="shared" si="7"/>
        <v>73821116.64</v>
      </c>
    </row>
    <row r="142" ht="14.25" customHeight="1">
      <c r="A142" s="4">
        <v>140.0</v>
      </c>
      <c r="B142" s="2" t="s">
        <v>478</v>
      </c>
      <c r="C142" s="2" t="s">
        <v>463</v>
      </c>
      <c r="D142" s="3">
        <v>2.2E9</v>
      </c>
      <c r="E142" s="2" t="s">
        <v>100</v>
      </c>
      <c r="F142" s="4" t="str">
        <f>VLOOKUP(B142,Raw_Data_Collection!$B$2:$F$215,5,FALSE)</f>
        <v>N</v>
      </c>
      <c r="G142" s="3">
        <f>VLOOKUP(B142,Raw_Data_Collection!$B$2:$J$215,6,FALSE)</f>
        <v>5328000</v>
      </c>
      <c r="J142" s="2" t="str">
        <f>VLOOKUP(B142,Raw_Data_Collection!$B$2:$J$215,9,FALSE)</f>
        <v/>
      </c>
      <c r="K142" s="18">
        <f>VLOOKUP(B142,Real_Estate_Stats_Preferred!$A$2:$G$215,7,FALSE)</f>
        <v>13992785.71</v>
      </c>
      <c r="L142" s="18">
        <f t="shared" si="1"/>
        <v>2186007214</v>
      </c>
      <c r="M142" s="4">
        <v>0.37</v>
      </c>
      <c r="N142" s="4">
        <v>0.05</v>
      </c>
      <c r="O142" s="29">
        <f t="shared" si="2"/>
        <v>109300360.7</v>
      </c>
      <c r="P142" s="29">
        <f t="shared" si="3"/>
        <v>173492636.1</v>
      </c>
      <c r="Q142" s="29">
        <f t="shared" si="4"/>
        <v>64192275.34</v>
      </c>
      <c r="R142" s="4">
        <v>0.075</v>
      </c>
      <c r="S142" s="29">
        <f t="shared" si="5"/>
        <v>125695414.8</v>
      </c>
      <c r="T142" s="29">
        <f t="shared" si="6"/>
        <v>199516531.5</v>
      </c>
      <c r="U142" s="29">
        <f t="shared" si="7"/>
        <v>73821116.64</v>
      </c>
    </row>
    <row r="143" ht="14.25" customHeight="1">
      <c r="A143" s="4">
        <v>141.0</v>
      </c>
      <c r="B143" s="2" t="s">
        <v>481</v>
      </c>
      <c r="C143" s="2" t="s">
        <v>463</v>
      </c>
      <c r="D143" s="3">
        <v>2.2E9</v>
      </c>
      <c r="E143" s="2" t="s">
        <v>100</v>
      </c>
      <c r="F143" s="4" t="str">
        <f>VLOOKUP(B143,Raw_Data_Collection!$B$2:$F$215,5,FALSE)</f>
        <v>N</v>
      </c>
      <c r="G143" s="3">
        <f>VLOOKUP(B143,Raw_Data_Collection!$B$2:$J$215,6,FALSE)</f>
        <v>3526000</v>
      </c>
      <c r="J143" s="2" t="str">
        <f>VLOOKUP(B143,Raw_Data_Collection!$B$2:$J$215,9,FALSE)</f>
        <v/>
      </c>
      <c r="K143" s="18">
        <f>VLOOKUP(B143,Real_Estate_Stats_Preferred!$A$2:$G$215,7,FALSE)</f>
        <v>13992785.71</v>
      </c>
      <c r="L143" s="18">
        <f t="shared" si="1"/>
        <v>2186007214</v>
      </c>
      <c r="M143" s="4">
        <v>0.37</v>
      </c>
      <c r="N143" s="4">
        <v>0.05</v>
      </c>
      <c r="O143" s="29">
        <f t="shared" si="2"/>
        <v>109300360.7</v>
      </c>
      <c r="P143" s="29">
        <f t="shared" si="3"/>
        <v>173492636.1</v>
      </c>
      <c r="Q143" s="29">
        <f t="shared" si="4"/>
        <v>64192275.34</v>
      </c>
      <c r="R143" s="4">
        <v>0.075</v>
      </c>
      <c r="S143" s="29">
        <f t="shared" si="5"/>
        <v>125695414.8</v>
      </c>
      <c r="T143" s="29">
        <f t="shared" si="6"/>
        <v>199516531.5</v>
      </c>
      <c r="U143" s="29">
        <f t="shared" si="7"/>
        <v>73821116.64</v>
      </c>
    </row>
    <row r="144" ht="14.25" customHeight="1">
      <c r="A144" s="4">
        <v>142.0</v>
      </c>
      <c r="B144" s="2" t="s">
        <v>484</v>
      </c>
      <c r="C144" s="2" t="s">
        <v>485</v>
      </c>
      <c r="D144" s="3">
        <v>2.1E9</v>
      </c>
      <c r="E144" s="2" t="s">
        <v>47</v>
      </c>
      <c r="F144" s="4" t="str">
        <f>VLOOKUP(B144,Raw_Data_Collection!$B$2:$F$215,5,FALSE)</f>
        <v>N</v>
      </c>
      <c r="G144" s="3">
        <f>VLOOKUP(B144,Raw_Data_Collection!$B$2:$J$215,6,FALSE)</f>
        <v>12482485</v>
      </c>
      <c r="J144" s="2" t="str">
        <f>VLOOKUP(B144,Raw_Data_Collection!$B$2:$J$215,9,FALSE)</f>
        <v/>
      </c>
      <c r="K144" s="18">
        <f>VLOOKUP(B144,Real_Estate_Stats_Preferred!$A$2:$G$215,7,FALSE)</f>
        <v>13356750</v>
      </c>
      <c r="L144" s="18">
        <f t="shared" si="1"/>
        <v>2086643250</v>
      </c>
      <c r="M144" s="4">
        <v>0.37</v>
      </c>
      <c r="N144" s="4">
        <v>0.05</v>
      </c>
      <c r="O144" s="29">
        <f t="shared" si="2"/>
        <v>104332162.5</v>
      </c>
      <c r="P144" s="29">
        <f t="shared" si="3"/>
        <v>165606607.1</v>
      </c>
      <c r="Q144" s="29">
        <f t="shared" si="4"/>
        <v>61274444.64</v>
      </c>
      <c r="R144" s="4">
        <v>0.075</v>
      </c>
      <c r="S144" s="29">
        <f t="shared" si="5"/>
        <v>119981986.9</v>
      </c>
      <c r="T144" s="29">
        <f t="shared" si="6"/>
        <v>190447598.2</v>
      </c>
      <c r="U144" s="29">
        <f t="shared" si="7"/>
        <v>70465611.34</v>
      </c>
    </row>
    <row r="145" ht="14.25" customHeight="1">
      <c r="A145" s="4">
        <v>143.0</v>
      </c>
      <c r="B145" s="2" t="s">
        <v>488</v>
      </c>
      <c r="C145" s="2" t="s">
        <v>485</v>
      </c>
      <c r="D145" s="3">
        <v>2.1E9</v>
      </c>
      <c r="E145" s="2" t="s">
        <v>100</v>
      </c>
      <c r="F145" s="4" t="str">
        <f>VLOOKUP(B145,Raw_Data_Collection!$B$2:$F$215,5,FALSE)</f>
        <v>N</v>
      </c>
      <c r="G145" s="3">
        <f>VLOOKUP(B145,Raw_Data_Collection!$B$2:$J$215,6,FALSE)</f>
        <v>5512000</v>
      </c>
      <c r="H145" s="5" t="s">
        <v>489</v>
      </c>
      <c r="I145" s="4">
        <v>2026.0</v>
      </c>
      <c r="J145" s="2" t="str">
        <f>VLOOKUP(B145,Raw_Data_Collection!$B$2:$J$215,9,FALSE)</f>
        <v/>
      </c>
      <c r="K145" s="18">
        <f>VLOOKUP(B145,Real_Estate_Stats_Preferred!$A$2:$G$215,7,FALSE)</f>
        <v>5512000</v>
      </c>
      <c r="L145" s="18">
        <f t="shared" si="1"/>
        <v>2094488000</v>
      </c>
      <c r="M145" s="4">
        <v>0.37</v>
      </c>
      <c r="N145" s="4">
        <v>0.05</v>
      </c>
      <c r="O145" s="29">
        <f t="shared" si="2"/>
        <v>104724400</v>
      </c>
      <c r="P145" s="29">
        <f t="shared" si="3"/>
        <v>166229206.3</v>
      </c>
      <c r="Q145" s="29">
        <f t="shared" si="4"/>
        <v>61504806.35</v>
      </c>
      <c r="R145" s="4">
        <v>0.075</v>
      </c>
      <c r="S145" s="29">
        <f t="shared" si="5"/>
        <v>120433060</v>
      </c>
      <c r="T145" s="29">
        <f t="shared" si="6"/>
        <v>191163587.3</v>
      </c>
      <c r="U145" s="29">
        <f t="shared" si="7"/>
        <v>70730527.3</v>
      </c>
      <c r="V145" s="4"/>
      <c r="W145" s="4"/>
      <c r="X145" s="14" t="s">
        <v>802</v>
      </c>
    </row>
    <row r="146" ht="14.25" customHeight="1">
      <c r="A146" s="4">
        <v>144.0</v>
      </c>
      <c r="B146" s="2" t="s">
        <v>491</v>
      </c>
      <c r="C146" s="2" t="s">
        <v>485</v>
      </c>
      <c r="D146" s="3">
        <v>2.1E9</v>
      </c>
      <c r="E146" s="2" t="s">
        <v>47</v>
      </c>
      <c r="F146" s="4" t="str">
        <f>VLOOKUP(B146,Raw_Data_Collection!$B$2:$F$215,5,FALSE)</f>
        <v>N</v>
      </c>
      <c r="G146" s="3">
        <f>VLOOKUP(B146,Raw_Data_Collection!$B$2:$J$215,6,FALSE)</f>
        <v>141000000</v>
      </c>
      <c r="H146" s="5" t="s">
        <v>492</v>
      </c>
      <c r="I146" s="4">
        <v>2022.0</v>
      </c>
      <c r="J146" s="2" t="str">
        <f>VLOOKUP(B146,Raw_Data_Collection!$B$2:$J$215,9,FALSE)</f>
        <v/>
      </c>
      <c r="K146" s="18">
        <f>VLOOKUP(B146,Real_Estate_Stats_Preferred!$A$2:$G$215,7,FALSE)</f>
        <v>141000000</v>
      </c>
      <c r="L146" s="18">
        <f t="shared" si="1"/>
        <v>1959000000</v>
      </c>
      <c r="M146" s="4">
        <v>0.37</v>
      </c>
      <c r="N146" s="4">
        <v>0.05</v>
      </c>
      <c r="O146" s="29">
        <f t="shared" si="2"/>
        <v>97950000</v>
      </c>
      <c r="P146" s="29">
        <f t="shared" si="3"/>
        <v>155476190.5</v>
      </c>
      <c r="Q146" s="29">
        <f t="shared" si="4"/>
        <v>57526190.48</v>
      </c>
      <c r="R146" s="4">
        <v>0.075</v>
      </c>
      <c r="S146" s="29">
        <f t="shared" si="5"/>
        <v>112642500</v>
      </c>
      <c r="T146" s="29">
        <f t="shared" si="6"/>
        <v>178797619</v>
      </c>
      <c r="U146" s="29">
        <f t="shared" si="7"/>
        <v>66155119.05</v>
      </c>
      <c r="V146" s="4"/>
      <c r="W146" s="4"/>
    </row>
    <row r="147" ht="14.25" customHeight="1">
      <c r="A147" s="4">
        <v>145.0</v>
      </c>
      <c r="B147" s="2" t="s">
        <v>493</v>
      </c>
      <c r="C147" s="2" t="s">
        <v>485</v>
      </c>
      <c r="D147" s="3">
        <v>2.1E9</v>
      </c>
      <c r="E147" s="2" t="s">
        <v>80</v>
      </c>
      <c r="F147" s="4" t="str">
        <f>VLOOKUP(B147,Raw_Data_Collection!$B$2:$F$215,5,FALSE)</f>
        <v>N</v>
      </c>
      <c r="G147" s="3">
        <f>VLOOKUP(B147,Raw_Data_Collection!$B$2:$J$215,6,FALSE)</f>
        <v>17000000</v>
      </c>
      <c r="H147" s="5" t="s">
        <v>494</v>
      </c>
      <c r="I147" s="4">
        <v>2026.0</v>
      </c>
      <c r="J147" s="2" t="str">
        <f>VLOOKUP(B147,Raw_Data_Collection!$B$2:$J$215,9,FALSE)</f>
        <v/>
      </c>
      <c r="K147" s="18">
        <f>VLOOKUP(B147,Real_Estate_Stats_Preferred!$A$2:$G$215,7,FALSE)</f>
        <v>17000000</v>
      </c>
      <c r="L147" s="18">
        <f t="shared" si="1"/>
        <v>2083000000</v>
      </c>
      <c r="M147" s="4">
        <v>0.37</v>
      </c>
      <c r="N147" s="4">
        <v>0.05</v>
      </c>
      <c r="O147" s="29">
        <f t="shared" si="2"/>
        <v>104150000</v>
      </c>
      <c r="P147" s="29">
        <f t="shared" si="3"/>
        <v>165317460.3</v>
      </c>
      <c r="Q147" s="29">
        <f t="shared" si="4"/>
        <v>61167460.32</v>
      </c>
      <c r="R147" s="4">
        <v>0.075</v>
      </c>
      <c r="S147" s="29">
        <f t="shared" si="5"/>
        <v>119772500</v>
      </c>
      <c r="T147" s="29">
        <f t="shared" si="6"/>
        <v>190115079.4</v>
      </c>
      <c r="U147" s="29">
        <f t="shared" si="7"/>
        <v>70342579.37</v>
      </c>
      <c r="V147" s="4"/>
      <c r="W147" s="4"/>
    </row>
    <row r="148" ht="14.25" customHeight="1">
      <c r="A148" s="4">
        <v>146.0</v>
      </c>
      <c r="B148" s="2" t="s">
        <v>496</v>
      </c>
      <c r="C148" s="2" t="s">
        <v>497</v>
      </c>
      <c r="D148" s="3">
        <v>2.0E9</v>
      </c>
      <c r="E148" s="2" t="s">
        <v>47</v>
      </c>
      <c r="F148" s="4" t="str">
        <f>VLOOKUP(B148,Raw_Data_Collection!$B$2:$F$215,5,FALSE)</f>
        <v>N</v>
      </c>
      <c r="G148" s="3">
        <f>VLOOKUP(B148,Raw_Data_Collection!$B$2:$J$215,6,FALSE)</f>
        <v>34000000</v>
      </c>
      <c r="H148" s="5" t="s">
        <v>498</v>
      </c>
      <c r="I148" s="4">
        <v>2023.0</v>
      </c>
      <c r="J148" s="2" t="str">
        <f>VLOOKUP(B148,Raw_Data_Collection!$B$2:$J$215,9,FALSE)</f>
        <v/>
      </c>
      <c r="K148" s="18">
        <f>VLOOKUP(B148,Real_Estate_Stats_Preferred!$A$2:$G$215,7,FALSE)</f>
        <v>34000000</v>
      </c>
      <c r="L148" s="18">
        <f t="shared" si="1"/>
        <v>1966000000</v>
      </c>
      <c r="M148" s="4">
        <v>0.37</v>
      </c>
      <c r="N148" s="4">
        <v>0.05</v>
      </c>
      <c r="O148" s="29">
        <f t="shared" si="2"/>
        <v>98300000</v>
      </c>
      <c r="P148" s="29">
        <f t="shared" si="3"/>
        <v>156031746</v>
      </c>
      <c r="Q148" s="29">
        <f t="shared" si="4"/>
        <v>57731746.03</v>
      </c>
      <c r="R148" s="4">
        <v>0.075</v>
      </c>
      <c r="S148" s="29">
        <f t="shared" si="5"/>
        <v>113045000</v>
      </c>
      <c r="T148" s="29">
        <f t="shared" si="6"/>
        <v>179436507.9</v>
      </c>
      <c r="U148" s="29">
        <f t="shared" si="7"/>
        <v>66391507.94</v>
      </c>
      <c r="V148" s="4"/>
      <c r="W148" s="4"/>
    </row>
    <row r="149" ht="14.25" customHeight="1">
      <c r="A149" s="4">
        <v>147.0</v>
      </c>
      <c r="B149" s="2" t="s">
        <v>499</v>
      </c>
      <c r="C149" s="2" t="s">
        <v>497</v>
      </c>
      <c r="D149" s="3">
        <v>2.0E9</v>
      </c>
      <c r="E149" s="2" t="s">
        <v>113</v>
      </c>
      <c r="F149" s="4" t="str">
        <f>VLOOKUP(B149,Raw_Data_Collection!$B$2:$F$215,5,FALSE)</f>
        <v>N</v>
      </c>
      <c r="G149" s="3">
        <f>VLOOKUP(B149,Raw_Data_Collection!$B$2:$J$215,6,FALSE)</f>
        <v>7322885</v>
      </c>
      <c r="H149" s="5" t="s">
        <v>500</v>
      </c>
      <c r="I149" s="4">
        <v>2026.0</v>
      </c>
      <c r="J149" s="2" t="str">
        <f>VLOOKUP(B149,Raw_Data_Collection!$B$2:$J$215,9,FALSE)</f>
        <v/>
      </c>
      <c r="K149" s="18">
        <f>VLOOKUP(B149,Real_Estate_Stats_Preferred!$A$2:$G$215,7,FALSE)</f>
        <v>7322885</v>
      </c>
      <c r="L149" s="18">
        <f t="shared" si="1"/>
        <v>1992677115</v>
      </c>
      <c r="M149" s="4">
        <v>0.37</v>
      </c>
      <c r="N149" s="4">
        <v>0.05</v>
      </c>
      <c r="O149" s="29">
        <f t="shared" si="2"/>
        <v>99633855.75</v>
      </c>
      <c r="P149" s="29">
        <f t="shared" si="3"/>
        <v>158148977.4</v>
      </c>
      <c r="Q149" s="29">
        <f t="shared" si="4"/>
        <v>58515121.63</v>
      </c>
      <c r="R149" s="4">
        <v>0.075</v>
      </c>
      <c r="S149" s="29">
        <f t="shared" si="5"/>
        <v>114578934.1</v>
      </c>
      <c r="T149" s="29">
        <f t="shared" si="6"/>
        <v>181871324</v>
      </c>
      <c r="U149" s="29">
        <f t="shared" si="7"/>
        <v>67292389.88</v>
      </c>
      <c r="V149" s="4"/>
      <c r="W149" s="4"/>
      <c r="X149" s="14" t="s">
        <v>803</v>
      </c>
    </row>
    <row r="150" ht="14.25" customHeight="1">
      <c r="A150" s="4">
        <v>148.0</v>
      </c>
      <c r="B150" s="2" t="s">
        <v>502</v>
      </c>
      <c r="C150" s="2" t="s">
        <v>497</v>
      </c>
      <c r="D150" s="3">
        <v>2.0E9</v>
      </c>
      <c r="E150" s="2" t="s">
        <v>47</v>
      </c>
      <c r="F150" s="4" t="str">
        <f>VLOOKUP(B150,Raw_Data_Collection!$B$2:$F$215,5,FALSE)</f>
        <v>N</v>
      </c>
      <c r="G150" s="3">
        <f>VLOOKUP(B150,Raw_Data_Collection!$B$2:$J$215,6,FALSE)</f>
        <v>15315861</v>
      </c>
      <c r="J150" s="18">
        <f>VLOOKUP(B150,Raw_Data_Collection!$B$2:$J$215,9,FALSE)</f>
        <v>15315861</v>
      </c>
      <c r="K150" s="18">
        <f>VLOOKUP(B150,Real_Estate_Stats_Preferred!$A$2:$G$215,7,FALSE)</f>
        <v>12720714.29</v>
      </c>
      <c r="L150" s="18">
        <f t="shared" si="1"/>
        <v>1987279286</v>
      </c>
      <c r="M150" s="4">
        <v>0.37</v>
      </c>
      <c r="N150" s="4">
        <v>0.05</v>
      </c>
      <c r="O150" s="29">
        <f t="shared" si="2"/>
        <v>99363964.29</v>
      </c>
      <c r="P150" s="29">
        <f t="shared" si="3"/>
        <v>157720578.2</v>
      </c>
      <c r="Q150" s="29">
        <f t="shared" si="4"/>
        <v>58356613.95</v>
      </c>
      <c r="R150" s="4">
        <v>0.075</v>
      </c>
      <c r="S150" s="29">
        <f t="shared" si="5"/>
        <v>114268558.9</v>
      </c>
      <c r="T150" s="29">
        <f t="shared" si="6"/>
        <v>181378665</v>
      </c>
      <c r="U150" s="29">
        <f t="shared" si="7"/>
        <v>67110106.04</v>
      </c>
    </row>
    <row r="151" ht="14.25" customHeight="1">
      <c r="A151" s="4">
        <v>149.0</v>
      </c>
      <c r="B151" s="2" t="s">
        <v>505</v>
      </c>
      <c r="C151" s="2" t="s">
        <v>497</v>
      </c>
      <c r="D151" s="3">
        <v>2.0E9</v>
      </c>
      <c r="E151" s="2" t="s">
        <v>100</v>
      </c>
      <c r="F151" s="4" t="str">
        <f>VLOOKUP(B151,Raw_Data_Collection!$B$2:$F$215,5,FALSE)</f>
        <v>N</v>
      </c>
      <c r="G151" s="3">
        <f>VLOOKUP(B151,Raw_Data_Collection!$B$2:$J$215,6,FALSE)</f>
        <v>4000000</v>
      </c>
      <c r="J151" s="2" t="str">
        <f>VLOOKUP(B151,Raw_Data_Collection!$B$2:$J$215,9,FALSE)</f>
        <v/>
      </c>
      <c r="K151" s="18">
        <f>VLOOKUP(B151,Real_Estate_Stats_Preferred!$A$2:$G$215,7,FALSE)</f>
        <v>12720714.29</v>
      </c>
      <c r="L151" s="18">
        <f t="shared" si="1"/>
        <v>1987279286</v>
      </c>
      <c r="M151" s="4">
        <v>0.37</v>
      </c>
      <c r="N151" s="4">
        <v>0.05</v>
      </c>
      <c r="O151" s="29">
        <f t="shared" si="2"/>
        <v>99363964.29</v>
      </c>
      <c r="P151" s="29">
        <f t="shared" si="3"/>
        <v>157720578.2</v>
      </c>
      <c r="Q151" s="29">
        <f t="shared" si="4"/>
        <v>58356613.95</v>
      </c>
      <c r="R151" s="4">
        <v>0.075</v>
      </c>
      <c r="S151" s="29">
        <f t="shared" si="5"/>
        <v>114268558.9</v>
      </c>
      <c r="T151" s="29">
        <f t="shared" si="6"/>
        <v>181378665</v>
      </c>
      <c r="U151" s="29">
        <f t="shared" si="7"/>
        <v>67110106.04</v>
      </c>
    </row>
    <row r="152" ht="14.25" customHeight="1">
      <c r="A152" s="4">
        <v>150.0</v>
      </c>
      <c r="B152" s="2" t="s">
        <v>508</v>
      </c>
      <c r="C152" s="2" t="s">
        <v>497</v>
      </c>
      <c r="D152" s="3">
        <v>2.0E9</v>
      </c>
      <c r="E152" s="2" t="s">
        <v>509</v>
      </c>
      <c r="F152" s="4" t="str">
        <f>VLOOKUP(B152,Raw_Data_Collection!$B$2:$F$215,5,FALSE)</f>
        <v>N</v>
      </c>
      <c r="G152" s="3">
        <f>VLOOKUP(B152,Raw_Data_Collection!$B$2:$J$215,6,FALSE)</f>
        <v>30000000</v>
      </c>
      <c r="J152" s="18">
        <f>VLOOKUP(B152,Raw_Data_Collection!$B$2:$J$215,9,FALSE)</f>
        <v>47500000</v>
      </c>
      <c r="K152" s="18">
        <f>VLOOKUP(B152,Real_Estate_Stats_Preferred!$A$2:$G$215,7,FALSE)</f>
        <v>12720714.29</v>
      </c>
      <c r="L152" s="18">
        <f t="shared" si="1"/>
        <v>1987279286</v>
      </c>
      <c r="M152" s="4">
        <v>0.37</v>
      </c>
      <c r="N152" s="4">
        <v>0.05</v>
      </c>
      <c r="O152" s="29">
        <f t="shared" si="2"/>
        <v>99363964.29</v>
      </c>
      <c r="P152" s="29">
        <f t="shared" si="3"/>
        <v>157720578.2</v>
      </c>
      <c r="Q152" s="29">
        <f t="shared" si="4"/>
        <v>58356613.95</v>
      </c>
      <c r="R152" s="4">
        <v>0.075</v>
      </c>
      <c r="S152" s="29">
        <f t="shared" si="5"/>
        <v>114268558.9</v>
      </c>
      <c r="T152" s="29">
        <f t="shared" si="6"/>
        <v>181378665</v>
      </c>
      <c r="U152" s="29">
        <f t="shared" si="7"/>
        <v>67110106.04</v>
      </c>
    </row>
    <row r="153" ht="14.25" customHeight="1">
      <c r="A153" s="4">
        <v>151.0</v>
      </c>
      <c r="B153" s="2" t="s">
        <v>513</v>
      </c>
      <c r="C153" s="2" t="s">
        <v>497</v>
      </c>
      <c r="D153" s="3">
        <v>2.0E9</v>
      </c>
      <c r="E153" s="2" t="s">
        <v>100</v>
      </c>
      <c r="F153" s="4" t="str">
        <f>VLOOKUP(B153,Raw_Data_Collection!$B$2:$F$215,5,FALSE)</f>
        <v>N</v>
      </c>
      <c r="G153" s="3" t="str">
        <f>VLOOKUP(B153,Raw_Data_Collection!$B$2:$J$215,6,FALSE)</f>
        <v/>
      </c>
      <c r="J153" s="2" t="str">
        <f>VLOOKUP(B153,Raw_Data_Collection!$B$2:$J$215,9,FALSE)</f>
        <v/>
      </c>
      <c r="K153" s="18">
        <f>VLOOKUP(B153,Real_Estate_Stats_Preferred!$A$2:$G$215,7,FALSE)</f>
        <v>12720714.29</v>
      </c>
      <c r="L153" s="18">
        <f t="shared" si="1"/>
        <v>1987279286</v>
      </c>
      <c r="M153" s="4">
        <v>0.37</v>
      </c>
      <c r="N153" s="4">
        <v>0.05</v>
      </c>
      <c r="O153" s="29">
        <f t="shared" si="2"/>
        <v>99363964.29</v>
      </c>
      <c r="P153" s="29">
        <f t="shared" si="3"/>
        <v>157720578.2</v>
      </c>
      <c r="Q153" s="29">
        <f t="shared" si="4"/>
        <v>58356613.95</v>
      </c>
      <c r="R153" s="4">
        <v>0.075</v>
      </c>
      <c r="S153" s="29">
        <f t="shared" si="5"/>
        <v>114268558.9</v>
      </c>
      <c r="T153" s="29">
        <f t="shared" si="6"/>
        <v>181378665</v>
      </c>
      <c r="U153" s="29">
        <f t="shared" si="7"/>
        <v>67110106.04</v>
      </c>
    </row>
    <row r="154" ht="14.25" customHeight="1">
      <c r="A154" s="4">
        <v>152.0</v>
      </c>
      <c r="B154" s="2" t="s">
        <v>514</v>
      </c>
      <c r="C154" s="2" t="s">
        <v>515</v>
      </c>
      <c r="D154" s="3">
        <v>1.9E9</v>
      </c>
      <c r="E154" s="2" t="s">
        <v>100</v>
      </c>
      <c r="F154" s="4" t="str">
        <f>VLOOKUP(B154,Raw_Data_Collection!$B$2:$F$215,5,FALSE)</f>
        <v>N</v>
      </c>
      <c r="G154" s="3">
        <f>VLOOKUP(B154,Raw_Data_Collection!$B$2:$J$215,6,FALSE)</f>
        <v>27000000</v>
      </c>
      <c r="H154" s="5" t="s">
        <v>516</v>
      </c>
      <c r="I154" s="4">
        <v>2024.0</v>
      </c>
      <c r="J154" s="2" t="str">
        <f>VLOOKUP(B154,Raw_Data_Collection!$B$2:$J$215,9,FALSE)</f>
        <v/>
      </c>
      <c r="K154" s="18">
        <f>VLOOKUP(B154,Real_Estate_Stats_Preferred!$A$2:$G$215,7,FALSE)</f>
        <v>27000000</v>
      </c>
      <c r="L154" s="18">
        <f t="shared" si="1"/>
        <v>1873000000</v>
      </c>
      <c r="M154" s="4">
        <v>0.37</v>
      </c>
      <c r="N154" s="4">
        <v>0.05</v>
      </c>
      <c r="O154" s="29">
        <f t="shared" si="2"/>
        <v>93650000</v>
      </c>
      <c r="P154" s="29">
        <f t="shared" si="3"/>
        <v>148650793.7</v>
      </c>
      <c r="Q154" s="29">
        <f t="shared" si="4"/>
        <v>55000793.65</v>
      </c>
      <c r="R154" s="4">
        <v>0.075</v>
      </c>
      <c r="S154" s="29">
        <f t="shared" si="5"/>
        <v>107697500</v>
      </c>
      <c r="T154" s="29">
        <f t="shared" si="6"/>
        <v>170948412.7</v>
      </c>
      <c r="U154" s="29">
        <f t="shared" si="7"/>
        <v>63250912.7</v>
      </c>
      <c r="V154" s="4"/>
      <c r="W154" s="4"/>
    </row>
    <row r="155" ht="14.25" customHeight="1">
      <c r="A155" s="4">
        <v>153.0</v>
      </c>
      <c r="B155" s="2" t="s">
        <v>517</v>
      </c>
      <c r="C155" s="2" t="s">
        <v>515</v>
      </c>
      <c r="D155" s="3">
        <v>1.9E9</v>
      </c>
      <c r="E155" s="2" t="s">
        <v>80</v>
      </c>
      <c r="F155" s="4" t="str">
        <f>VLOOKUP(B155,Raw_Data_Collection!$B$2:$F$215,5,FALSE)</f>
        <v>N</v>
      </c>
      <c r="G155" s="3">
        <f>VLOOKUP(B155,Raw_Data_Collection!$B$2:$J$215,6,FALSE)</f>
        <v>14281449</v>
      </c>
      <c r="J155" s="2" t="str">
        <f>VLOOKUP(B155,Raw_Data_Collection!$B$2:$J$215,9,FALSE)</f>
        <v/>
      </c>
      <c r="K155" s="18">
        <f>VLOOKUP(B155,Real_Estate_Stats_Preferred!$A$2:$G$215,7,FALSE)</f>
        <v>12084678.57</v>
      </c>
      <c r="L155" s="18">
        <f t="shared" si="1"/>
        <v>1887915321</v>
      </c>
      <c r="M155" s="4">
        <v>0.37</v>
      </c>
      <c r="N155" s="4">
        <v>0.05</v>
      </c>
      <c r="O155" s="29">
        <f t="shared" si="2"/>
        <v>94395766.07</v>
      </c>
      <c r="P155" s="29">
        <f t="shared" si="3"/>
        <v>149834549.3</v>
      </c>
      <c r="Q155" s="29">
        <f t="shared" si="4"/>
        <v>55438783.25</v>
      </c>
      <c r="R155" s="4">
        <v>0.075</v>
      </c>
      <c r="S155" s="29">
        <f t="shared" si="5"/>
        <v>108555131</v>
      </c>
      <c r="T155" s="29">
        <f t="shared" si="6"/>
        <v>172309731.7</v>
      </c>
      <c r="U155" s="29">
        <f t="shared" si="7"/>
        <v>63754600.74</v>
      </c>
    </row>
    <row r="156" ht="14.25" customHeight="1">
      <c r="A156" s="4">
        <v>154.0</v>
      </c>
      <c r="B156" s="2" t="s">
        <v>520</v>
      </c>
      <c r="C156" s="2" t="s">
        <v>515</v>
      </c>
      <c r="D156" s="3">
        <v>1.9E9</v>
      </c>
      <c r="E156" s="2" t="s">
        <v>100</v>
      </c>
      <c r="F156" s="4" t="str">
        <f>VLOOKUP(B156,Raw_Data_Collection!$B$2:$F$215,5,FALSE)</f>
        <v>N</v>
      </c>
      <c r="G156" s="3" t="str">
        <f>VLOOKUP(B156,Raw_Data_Collection!$B$2:$J$215,6,FALSE)</f>
        <v/>
      </c>
      <c r="J156" s="2" t="str">
        <f>VLOOKUP(B156,Raw_Data_Collection!$B$2:$J$215,9,FALSE)</f>
        <v/>
      </c>
      <c r="K156" s="18">
        <f>VLOOKUP(B156,Real_Estate_Stats_Preferred!$A$2:$G$215,7,FALSE)</f>
        <v>12084678.57</v>
      </c>
      <c r="L156" s="18">
        <f t="shared" si="1"/>
        <v>1887915321</v>
      </c>
      <c r="M156" s="4">
        <v>0.37</v>
      </c>
      <c r="N156" s="4">
        <v>0.05</v>
      </c>
      <c r="O156" s="29">
        <f t="shared" si="2"/>
        <v>94395766.07</v>
      </c>
      <c r="P156" s="29">
        <f t="shared" si="3"/>
        <v>149834549.3</v>
      </c>
      <c r="Q156" s="29">
        <f t="shared" si="4"/>
        <v>55438783.25</v>
      </c>
      <c r="R156" s="4">
        <v>0.075</v>
      </c>
      <c r="S156" s="29">
        <f t="shared" si="5"/>
        <v>108555131</v>
      </c>
      <c r="T156" s="29">
        <f t="shared" si="6"/>
        <v>172309731.7</v>
      </c>
      <c r="U156" s="29">
        <f t="shared" si="7"/>
        <v>63754600.74</v>
      </c>
    </row>
    <row r="157" ht="14.25" customHeight="1">
      <c r="A157" s="4">
        <v>155.0</v>
      </c>
      <c r="B157" s="2" t="s">
        <v>521</v>
      </c>
      <c r="C157" s="2" t="s">
        <v>515</v>
      </c>
      <c r="D157" s="3">
        <v>1.9E9</v>
      </c>
      <c r="E157" s="2" t="s">
        <v>166</v>
      </c>
      <c r="F157" s="4" t="str">
        <f>VLOOKUP(B157,Raw_Data_Collection!$B$2:$F$215,5,FALSE)</f>
        <v>N</v>
      </c>
      <c r="G157" s="3">
        <f>VLOOKUP(B157,Raw_Data_Collection!$B$2:$J$215,6,FALSE)</f>
        <v>110000000</v>
      </c>
      <c r="H157" s="5" t="s">
        <v>522</v>
      </c>
      <c r="I157" s="4">
        <v>2025.0</v>
      </c>
      <c r="J157" s="2" t="str">
        <f>VLOOKUP(B157,Raw_Data_Collection!$B$2:$J$215,9,FALSE)</f>
        <v/>
      </c>
      <c r="K157" s="18">
        <f>VLOOKUP(B157,Real_Estate_Stats_Preferred!$A$2:$G$215,7,FALSE)</f>
        <v>110000000</v>
      </c>
      <c r="L157" s="18">
        <f t="shared" si="1"/>
        <v>1790000000</v>
      </c>
      <c r="M157" s="4">
        <v>0.37</v>
      </c>
      <c r="N157" s="4">
        <v>0.05</v>
      </c>
      <c r="O157" s="29">
        <f t="shared" si="2"/>
        <v>89500000</v>
      </c>
      <c r="P157" s="29">
        <f t="shared" si="3"/>
        <v>142063492.1</v>
      </c>
      <c r="Q157" s="29">
        <f t="shared" si="4"/>
        <v>52563492.06</v>
      </c>
      <c r="R157" s="4">
        <v>0.075</v>
      </c>
      <c r="S157" s="29">
        <f t="shared" si="5"/>
        <v>102925000</v>
      </c>
      <c r="T157" s="29">
        <f t="shared" si="6"/>
        <v>163373015.9</v>
      </c>
      <c r="U157" s="29">
        <f t="shared" si="7"/>
        <v>60448015.87</v>
      </c>
      <c r="V157" s="4"/>
      <c r="W157" s="4"/>
      <c r="X157" s="4" t="s">
        <v>523</v>
      </c>
    </row>
    <row r="158" ht="14.25" customHeight="1">
      <c r="A158" s="4">
        <v>156.0</v>
      </c>
      <c r="B158" s="2" t="s">
        <v>524</v>
      </c>
      <c r="C158" s="2" t="s">
        <v>515</v>
      </c>
      <c r="D158" s="3">
        <v>1.9E9</v>
      </c>
      <c r="E158" s="2" t="s">
        <v>354</v>
      </c>
      <c r="F158" s="4" t="str">
        <f>VLOOKUP(B158,Raw_Data_Collection!$B$2:$F$215,5,FALSE)</f>
        <v>N</v>
      </c>
      <c r="G158" s="3">
        <f>VLOOKUP(B158,Raw_Data_Collection!$B$2:$J$215,6,FALSE)</f>
        <v>177000000</v>
      </c>
      <c r="H158" s="5" t="s">
        <v>525</v>
      </c>
      <c r="I158" s="4">
        <v>2021.0</v>
      </c>
      <c r="J158" s="2" t="str">
        <f>VLOOKUP(B158,Raw_Data_Collection!$B$2:$J$215,9,FALSE)</f>
        <v/>
      </c>
      <c r="K158" s="18">
        <f>VLOOKUP(B158,Real_Estate_Stats_Preferred!$A$2:$G$215,7,FALSE)</f>
        <v>177000000</v>
      </c>
      <c r="L158" s="18">
        <f t="shared" si="1"/>
        <v>1723000000</v>
      </c>
      <c r="M158" s="4">
        <v>0.37</v>
      </c>
      <c r="N158" s="4">
        <v>0.05</v>
      </c>
      <c r="O158" s="29">
        <f t="shared" si="2"/>
        <v>86150000</v>
      </c>
      <c r="P158" s="29">
        <f t="shared" si="3"/>
        <v>136746031.7</v>
      </c>
      <c r="Q158" s="29">
        <f t="shared" si="4"/>
        <v>50596031.75</v>
      </c>
      <c r="R158" s="4">
        <v>0.075</v>
      </c>
      <c r="S158" s="29">
        <f t="shared" si="5"/>
        <v>99072500</v>
      </c>
      <c r="T158" s="29">
        <f t="shared" si="6"/>
        <v>157257936.5</v>
      </c>
      <c r="U158" s="29">
        <f t="shared" si="7"/>
        <v>58185436.51</v>
      </c>
      <c r="V158" s="4"/>
      <c r="W158" s="4"/>
    </row>
    <row r="159" ht="14.25" customHeight="1">
      <c r="A159" s="4">
        <v>157.0</v>
      </c>
      <c r="B159" s="2" t="s">
        <v>526</v>
      </c>
      <c r="C159" s="2" t="s">
        <v>527</v>
      </c>
      <c r="D159" s="3">
        <v>1.8E9</v>
      </c>
      <c r="E159" s="2" t="s">
        <v>528</v>
      </c>
      <c r="F159" s="4" t="str">
        <f>VLOOKUP(B159,Raw_Data_Collection!$B$2:$F$215,5,FALSE)</f>
        <v>N</v>
      </c>
      <c r="G159" s="3">
        <f>VLOOKUP(B159,Raw_Data_Collection!$B$2:$J$215,6,FALSE)</f>
        <v>60000000</v>
      </c>
      <c r="H159" s="5" t="s">
        <v>529</v>
      </c>
      <c r="I159" s="4">
        <v>2025.0</v>
      </c>
      <c r="J159" s="18">
        <f>VLOOKUP(B159,Raw_Data_Collection!$B$2:$J$215,9,FALSE)</f>
        <v>115000000</v>
      </c>
      <c r="K159" s="18">
        <f>VLOOKUP(B159,Real_Estate_Stats_Preferred!$A$2:$G$215,7,FALSE)</f>
        <v>60000000</v>
      </c>
      <c r="L159" s="18">
        <f t="shared" si="1"/>
        <v>1740000000</v>
      </c>
      <c r="M159" s="4">
        <v>0.37</v>
      </c>
      <c r="N159" s="4">
        <v>0.05</v>
      </c>
      <c r="O159" s="29">
        <f t="shared" si="2"/>
        <v>87000000</v>
      </c>
      <c r="P159" s="29">
        <f t="shared" si="3"/>
        <v>138095238.1</v>
      </c>
      <c r="Q159" s="29">
        <f t="shared" si="4"/>
        <v>51095238.1</v>
      </c>
      <c r="R159" s="4">
        <v>0.075</v>
      </c>
      <c r="S159" s="29">
        <f t="shared" si="5"/>
        <v>100050000</v>
      </c>
      <c r="T159" s="29">
        <f t="shared" si="6"/>
        <v>158809523.8</v>
      </c>
      <c r="U159" s="29">
        <f t="shared" si="7"/>
        <v>58759523.81</v>
      </c>
      <c r="V159" s="4"/>
      <c r="W159" s="4"/>
      <c r="X159" s="4" t="s">
        <v>728</v>
      </c>
    </row>
    <row r="160" ht="14.25" customHeight="1">
      <c r="A160" s="4">
        <v>158.0</v>
      </c>
      <c r="B160" s="2" t="s">
        <v>532</v>
      </c>
      <c r="C160" s="2" t="s">
        <v>527</v>
      </c>
      <c r="D160" s="3">
        <v>1.8E9</v>
      </c>
      <c r="E160" s="2" t="s">
        <v>47</v>
      </c>
      <c r="F160" s="4" t="str">
        <f>VLOOKUP(B160,Raw_Data_Collection!$B$2:$F$215,5,FALSE)</f>
        <v>N</v>
      </c>
      <c r="G160" s="3" t="str">
        <f>VLOOKUP(B160,Raw_Data_Collection!$B$2:$J$215,6,FALSE)</f>
        <v/>
      </c>
      <c r="H160" s="5" t="s">
        <v>533</v>
      </c>
      <c r="J160" s="18">
        <f>VLOOKUP(B160,Raw_Data_Collection!$B$2:$J$215,9,FALSE)</f>
        <v>29405106</v>
      </c>
      <c r="K160" s="18">
        <f>VLOOKUP(B160,Real_Estate_Stats_Preferred!$A$2:$G$215,7,FALSE)</f>
        <v>11448642.86</v>
      </c>
      <c r="L160" s="18">
        <f t="shared" si="1"/>
        <v>1788551357</v>
      </c>
      <c r="M160" s="4">
        <v>0.37</v>
      </c>
      <c r="N160" s="4">
        <v>0.05</v>
      </c>
      <c r="O160" s="29">
        <f t="shared" si="2"/>
        <v>89427567.86</v>
      </c>
      <c r="P160" s="29">
        <f t="shared" si="3"/>
        <v>141948520.4</v>
      </c>
      <c r="Q160" s="29">
        <f t="shared" si="4"/>
        <v>52520952.55</v>
      </c>
      <c r="R160" s="4">
        <v>0.075</v>
      </c>
      <c r="S160" s="29">
        <f t="shared" si="5"/>
        <v>102841703</v>
      </c>
      <c r="T160" s="29">
        <f t="shared" si="6"/>
        <v>163240798.5</v>
      </c>
      <c r="U160" s="29">
        <f t="shared" si="7"/>
        <v>60399095.43</v>
      </c>
    </row>
    <row r="161" ht="14.25" customHeight="1">
      <c r="A161" s="4">
        <v>159.0</v>
      </c>
      <c r="B161" s="2" t="s">
        <v>536</v>
      </c>
      <c r="C161" s="2" t="s">
        <v>537</v>
      </c>
      <c r="D161" s="3">
        <v>1.7E9</v>
      </c>
      <c r="E161" s="2" t="s">
        <v>538</v>
      </c>
      <c r="F161" s="4" t="str">
        <f>VLOOKUP(B161,Raw_Data_Collection!$B$2:$F$215,5,FALSE)</f>
        <v>N</v>
      </c>
      <c r="G161" s="3" t="str">
        <f>VLOOKUP(B161,Raw_Data_Collection!$B$2:$J$215,6,FALSE)</f>
        <v/>
      </c>
      <c r="J161" s="2" t="str">
        <f>VLOOKUP(B161,Raw_Data_Collection!$B$2:$J$215,9,FALSE)</f>
        <v/>
      </c>
      <c r="K161" s="18">
        <f>VLOOKUP(B161,Real_Estate_Stats_Preferred!$A$2:$G$215,7,FALSE)</f>
        <v>10812607.14</v>
      </c>
      <c r="L161" s="18">
        <f t="shared" si="1"/>
        <v>1689187393</v>
      </c>
      <c r="M161" s="4">
        <v>0.37</v>
      </c>
      <c r="N161" s="4">
        <v>0.05</v>
      </c>
      <c r="O161" s="29">
        <f t="shared" si="2"/>
        <v>84459369.64</v>
      </c>
      <c r="P161" s="29">
        <f t="shared" si="3"/>
        <v>134062491.5</v>
      </c>
      <c r="Q161" s="29">
        <f t="shared" si="4"/>
        <v>49603121.85</v>
      </c>
      <c r="R161" s="4">
        <v>0.075</v>
      </c>
      <c r="S161" s="29">
        <f t="shared" si="5"/>
        <v>97128275.09</v>
      </c>
      <c r="T161" s="29">
        <f t="shared" si="6"/>
        <v>154171865.2</v>
      </c>
      <c r="U161" s="29">
        <f t="shared" si="7"/>
        <v>57043590.13</v>
      </c>
    </row>
    <row r="162" ht="14.25" customHeight="1">
      <c r="A162" s="4">
        <v>160.0</v>
      </c>
      <c r="B162" s="2" t="s">
        <v>539</v>
      </c>
      <c r="C162" s="2" t="s">
        <v>537</v>
      </c>
      <c r="D162" s="3">
        <v>1.7E9</v>
      </c>
      <c r="E162" s="2" t="s">
        <v>100</v>
      </c>
      <c r="F162" s="4" t="str">
        <f>VLOOKUP(B162,Raw_Data_Collection!$B$2:$F$215,5,FALSE)</f>
        <v>N</v>
      </c>
      <c r="G162" s="3" t="str">
        <f>VLOOKUP(B162,Raw_Data_Collection!$B$2:$J$215,6,FALSE)</f>
        <v/>
      </c>
      <c r="J162" s="2" t="str">
        <f>VLOOKUP(B162,Raw_Data_Collection!$B$2:$J$215,9,FALSE)</f>
        <v/>
      </c>
      <c r="K162" s="18">
        <f>VLOOKUP(B162,Real_Estate_Stats_Preferred!$A$2:$G$215,7,FALSE)</f>
        <v>10812607.14</v>
      </c>
      <c r="L162" s="18">
        <f t="shared" si="1"/>
        <v>1689187393</v>
      </c>
      <c r="M162" s="4">
        <v>0.37</v>
      </c>
      <c r="N162" s="4">
        <v>0.05</v>
      </c>
      <c r="O162" s="29">
        <f t="shared" si="2"/>
        <v>84459369.64</v>
      </c>
      <c r="P162" s="29">
        <f t="shared" si="3"/>
        <v>134062491.5</v>
      </c>
      <c r="Q162" s="29">
        <f t="shared" si="4"/>
        <v>49603121.85</v>
      </c>
      <c r="R162" s="4">
        <v>0.075</v>
      </c>
      <c r="S162" s="29">
        <f t="shared" si="5"/>
        <v>97128275.09</v>
      </c>
      <c r="T162" s="29">
        <f t="shared" si="6"/>
        <v>154171865.2</v>
      </c>
      <c r="U162" s="29">
        <f t="shared" si="7"/>
        <v>57043590.13</v>
      </c>
    </row>
    <row r="163" ht="14.25" customHeight="1">
      <c r="A163" s="4">
        <v>161.0</v>
      </c>
      <c r="B163" s="2" t="s">
        <v>540</v>
      </c>
      <c r="C163" s="2" t="s">
        <v>537</v>
      </c>
      <c r="D163" s="3">
        <v>1.7E9</v>
      </c>
      <c r="E163" s="2" t="s">
        <v>47</v>
      </c>
      <c r="F163" s="4" t="str">
        <f>VLOOKUP(B163,Raw_Data_Collection!$B$2:$F$215,5,FALSE)</f>
        <v>N</v>
      </c>
      <c r="G163" s="3">
        <f>VLOOKUP(B163,Raw_Data_Collection!$B$2:$J$215,6,FALSE)</f>
        <v>23900000</v>
      </c>
      <c r="H163" s="5" t="s">
        <v>541</v>
      </c>
      <c r="I163" s="4">
        <v>2026.0</v>
      </c>
      <c r="J163" s="2" t="str">
        <f>VLOOKUP(B163,Raw_Data_Collection!$B$2:$J$215,9,FALSE)</f>
        <v/>
      </c>
      <c r="K163" s="18">
        <f>VLOOKUP(B163,Real_Estate_Stats_Preferred!$A$2:$G$215,7,FALSE)</f>
        <v>23900000</v>
      </c>
      <c r="L163" s="18">
        <f t="shared" si="1"/>
        <v>1676100000</v>
      </c>
      <c r="M163" s="4">
        <v>0.37</v>
      </c>
      <c r="N163" s="4">
        <v>0.05</v>
      </c>
      <c r="O163" s="29">
        <f t="shared" si="2"/>
        <v>83805000</v>
      </c>
      <c r="P163" s="29">
        <f t="shared" si="3"/>
        <v>133023809.5</v>
      </c>
      <c r="Q163" s="29">
        <f t="shared" si="4"/>
        <v>49218809.52</v>
      </c>
      <c r="R163" s="4">
        <v>0.075</v>
      </c>
      <c r="S163" s="29">
        <f t="shared" si="5"/>
        <v>96375750</v>
      </c>
      <c r="T163" s="29">
        <f t="shared" si="6"/>
        <v>152977381</v>
      </c>
      <c r="U163" s="29">
        <f t="shared" si="7"/>
        <v>56601630.95</v>
      </c>
      <c r="V163" s="4"/>
      <c r="W163" s="4"/>
    </row>
    <row r="164" ht="14.25" customHeight="1">
      <c r="A164" s="4">
        <v>162.0</v>
      </c>
      <c r="B164" s="2" t="s">
        <v>542</v>
      </c>
      <c r="C164" s="2" t="s">
        <v>537</v>
      </c>
      <c r="D164" s="3">
        <v>1.7E9</v>
      </c>
      <c r="E164" s="2" t="s">
        <v>100</v>
      </c>
      <c r="F164" s="4" t="str">
        <f>VLOOKUP(B164,Raw_Data_Collection!$B$2:$F$215,5,FALSE)</f>
        <v>N</v>
      </c>
      <c r="G164" s="3" t="str">
        <f>VLOOKUP(B164,Raw_Data_Collection!$B$2:$J$215,6,FALSE)</f>
        <v/>
      </c>
      <c r="J164" s="2" t="str">
        <f>VLOOKUP(B164,Raw_Data_Collection!$B$2:$J$215,9,FALSE)</f>
        <v/>
      </c>
      <c r="K164" s="18">
        <f>VLOOKUP(B164,Real_Estate_Stats_Preferred!$A$2:$G$215,7,FALSE)</f>
        <v>10812607.14</v>
      </c>
      <c r="L164" s="18">
        <f t="shared" si="1"/>
        <v>1689187393</v>
      </c>
      <c r="M164" s="4">
        <v>0.37</v>
      </c>
      <c r="N164" s="4">
        <v>0.05</v>
      </c>
      <c r="O164" s="29">
        <f t="shared" si="2"/>
        <v>84459369.64</v>
      </c>
      <c r="P164" s="29">
        <f t="shared" si="3"/>
        <v>134062491.5</v>
      </c>
      <c r="Q164" s="29">
        <f t="shared" si="4"/>
        <v>49603121.85</v>
      </c>
      <c r="R164" s="4">
        <v>0.075</v>
      </c>
      <c r="S164" s="29">
        <f t="shared" si="5"/>
        <v>97128275.09</v>
      </c>
      <c r="T164" s="29">
        <f t="shared" si="6"/>
        <v>154171865.2</v>
      </c>
      <c r="U164" s="29">
        <f t="shared" si="7"/>
        <v>57043590.13</v>
      </c>
    </row>
    <row r="165" ht="14.25" customHeight="1">
      <c r="A165" s="4">
        <v>163.0</v>
      </c>
      <c r="B165" s="2" t="s">
        <v>543</v>
      </c>
      <c r="C165" s="2" t="s">
        <v>537</v>
      </c>
      <c r="D165" s="3">
        <v>1.7E9</v>
      </c>
      <c r="E165" s="2" t="s">
        <v>100</v>
      </c>
      <c r="F165" s="4" t="str">
        <f>VLOOKUP(B165,Raw_Data_Collection!$B$2:$F$215,5,FALSE)</f>
        <v>N</v>
      </c>
      <c r="G165" s="3" t="str">
        <f>VLOOKUP(B165,Raw_Data_Collection!$B$2:$J$215,6,FALSE)</f>
        <v/>
      </c>
      <c r="J165" s="2" t="str">
        <f>VLOOKUP(B165,Raw_Data_Collection!$B$2:$J$215,9,FALSE)</f>
        <v/>
      </c>
      <c r="K165" s="18">
        <f>VLOOKUP(B165,Real_Estate_Stats_Preferred!$A$2:$G$215,7,FALSE)</f>
        <v>10812607.14</v>
      </c>
      <c r="L165" s="18">
        <f t="shared" si="1"/>
        <v>1689187393</v>
      </c>
      <c r="M165" s="4">
        <v>0.37</v>
      </c>
      <c r="N165" s="4">
        <v>0.05</v>
      </c>
      <c r="O165" s="29">
        <f t="shared" si="2"/>
        <v>84459369.64</v>
      </c>
      <c r="P165" s="29">
        <f t="shared" si="3"/>
        <v>134062491.5</v>
      </c>
      <c r="Q165" s="29">
        <f t="shared" si="4"/>
        <v>49603121.85</v>
      </c>
      <c r="R165" s="4">
        <v>0.075</v>
      </c>
      <c r="S165" s="29">
        <f t="shared" si="5"/>
        <v>97128275.09</v>
      </c>
      <c r="T165" s="29">
        <f t="shared" si="6"/>
        <v>154171865.2</v>
      </c>
      <c r="U165" s="29">
        <f t="shared" si="7"/>
        <v>57043590.13</v>
      </c>
    </row>
    <row r="166" ht="14.25" customHeight="1">
      <c r="A166" s="4">
        <v>164.0</v>
      </c>
      <c r="B166" s="2" t="s">
        <v>544</v>
      </c>
      <c r="C166" s="2" t="s">
        <v>545</v>
      </c>
      <c r="D166" s="3">
        <v>1.6E9</v>
      </c>
      <c r="E166" s="2" t="s">
        <v>546</v>
      </c>
      <c r="F166" s="4" t="str">
        <f>VLOOKUP(B166,Raw_Data_Collection!$B$2:$F$215,5,FALSE)</f>
        <v>N</v>
      </c>
      <c r="G166" s="3" t="str">
        <f>VLOOKUP(B166,Raw_Data_Collection!$B$2:$J$215,6,FALSE)</f>
        <v/>
      </c>
      <c r="J166" s="2" t="str">
        <f>VLOOKUP(B166,Raw_Data_Collection!$B$2:$J$215,9,FALSE)</f>
        <v/>
      </c>
      <c r="K166" s="18">
        <f>VLOOKUP(B166,Real_Estate_Stats_Preferred!$A$2:$G$215,7,FALSE)</f>
        <v>10176571.43</v>
      </c>
      <c r="L166" s="18">
        <f t="shared" si="1"/>
        <v>1589823429</v>
      </c>
      <c r="M166" s="4">
        <v>0.37</v>
      </c>
      <c r="N166" s="4">
        <v>0.05</v>
      </c>
      <c r="O166" s="29">
        <f t="shared" si="2"/>
        <v>79491171.43</v>
      </c>
      <c r="P166" s="29">
        <f t="shared" si="3"/>
        <v>126176462.6</v>
      </c>
      <c r="Q166" s="29">
        <f t="shared" si="4"/>
        <v>46685291.16</v>
      </c>
      <c r="R166" s="4">
        <v>0.075</v>
      </c>
      <c r="S166" s="29">
        <f t="shared" si="5"/>
        <v>91414847.14</v>
      </c>
      <c r="T166" s="29">
        <f t="shared" si="6"/>
        <v>145102932</v>
      </c>
      <c r="U166" s="29">
        <f t="shared" si="7"/>
        <v>53688084.83</v>
      </c>
    </row>
    <row r="167" ht="14.25" customHeight="1">
      <c r="A167" s="4">
        <v>165.0</v>
      </c>
      <c r="B167" s="2" t="s">
        <v>547</v>
      </c>
      <c r="C167" s="2" t="s">
        <v>545</v>
      </c>
      <c r="D167" s="3">
        <v>1.6E9</v>
      </c>
      <c r="E167" s="2" t="s">
        <v>80</v>
      </c>
      <c r="F167" s="4" t="str">
        <f>VLOOKUP(B167,Raw_Data_Collection!$B$2:$F$215,5,FALSE)</f>
        <v>N</v>
      </c>
      <c r="G167" s="3">
        <f>VLOOKUP(B167,Raw_Data_Collection!$B$2:$J$215,6,FALSE)</f>
        <v>7167000</v>
      </c>
      <c r="J167" s="2" t="str">
        <f>VLOOKUP(B167,Raw_Data_Collection!$B$2:$J$215,9,FALSE)</f>
        <v/>
      </c>
      <c r="K167" s="18">
        <f>VLOOKUP(B167,Real_Estate_Stats_Preferred!$A$2:$G$215,7,FALSE)</f>
        <v>10176571.43</v>
      </c>
      <c r="L167" s="18">
        <f t="shared" si="1"/>
        <v>1589823429</v>
      </c>
      <c r="M167" s="4">
        <v>0.37</v>
      </c>
      <c r="N167" s="4">
        <v>0.05</v>
      </c>
      <c r="O167" s="29">
        <f t="shared" si="2"/>
        <v>79491171.43</v>
      </c>
      <c r="P167" s="29">
        <f t="shared" si="3"/>
        <v>126176462.6</v>
      </c>
      <c r="Q167" s="29">
        <f t="shared" si="4"/>
        <v>46685291.16</v>
      </c>
      <c r="R167" s="4">
        <v>0.075</v>
      </c>
      <c r="S167" s="29">
        <f t="shared" si="5"/>
        <v>91414847.14</v>
      </c>
      <c r="T167" s="29">
        <f t="shared" si="6"/>
        <v>145102932</v>
      </c>
      <c r="U167" s="29">
        <f t="shared" si="7"/>
        <v>53688084.83</v>
      </c>
    </row>
    <row r="168" ht="14.25" customHeight="1">
      <c r="A168" s="4">
        <v>166.0</v>
      </c>
      <c r="B168" s="2" t="s">
        <v>550</v>
      </c>
      <c r="C168" s="2" t="s">
        <v>545</v>
      </c>
      <c r="D168" s="3">
        <v>1.6E9</v>
      </c>
      <c r="E168" s="2" t="s">
        <v>308</v>
      </c>
      <c r="F168" s="4" t="str">
        <f>VLOOKUP(B168,Raw_Data_Collection!$B$2:$F$215,5,FALSE)</f>
        <v>N</v>
      </c>
      <c r="G168" s="3">
        <f>VLOOKUP(B168,Raw_Data_Collection!$B$2:$J$215,6,FALSE)</f>
        <v>35820000</v>
      </c>
      <c r="H168" s="5" t="s">
        <v>551</v>
      </c>
      <c r="I168" s="4">
        <v>2018.0</v>
      </c>
      <c r="J168" s="2" t="str">
        <f>VLOOKUP(B168,Raw_Data_Collection!$B$2:$J$215,9,FALSE)</f>
        <v/>
      </c>
      <c r="K168" s="18">
        <f>VLOOKUP(B168,Real_Estate_Stats_Preferred!$A$2:$G$215,7,FALSE)</f>
        <v>35820000</v>
      </c>
      <c r="L168" s="18">
        <f t="shared" si="1"/>
        <v>1564180000</v>
      </c>
      <c r="M168" s="4">
        <v>0.37</v>
      </c>
      <c r="N168" s="4">
        <v>0.05</v>
      </c>
      <c r="O168" s="29">
        <f t="shared" si="2"/>
        <v>78209000</v>
      </c>
      <c r="P168" s="29">
        <f t="shared" si="3"/>
        <v>124141269.8</v>
      </c>
      <c r="Q168" s="29">
        <f t="shared" si="4"/>
        <v>45932269.84</v>
      </c>
      <c r="R168" s="4">
        <v>0.075</v>
      </c>
      <c r="S168" s="29">
        <f t="shared" si="5"/>
        <v>89940350</v>
      </c>
      <c r="T168" s="29">
        <f t="shared" si="6"/>
        <v>142762460.3</v>
      </c>
      <c r="U168" s="29">
        <f t="shared" si="7"/>
        <v>52822110.32</v>
      </c>
      <c r="V168" s="4"/>
      <c r="W168" s="4"/>
      <c r="X168" s="4" t="s">
        <v>552</v>
      </c>
    </row>
    <row r="169" ht="14.25" customHeight="1">
      <c r="A169" s="4">
        <v>167.0</v>
      </c>
      <c r="B169" s="2" t="s">
        <v>553</v>
      </c>
      <c r="C169" s="2" t="s">
        <v>545</v>
      </c>
      <c r="D169" s="3">
        <v>1.6E9</v>
      </c>
      <c r="E169" s="2" t="s">
        <v>440</v>
      </c>
      <c r="F169" s="4" t="str">
        <f>VLOOKUP(B169,Raw_Data_Collection!$B$2:$F$215,5,FALSE)</f>
        <v>N</v>
      </c>
      <c r="G169" s="3" t="str">
        <f>VLOOKUP(B169,Raw_Data_Collection!$B$2:$J$215,6,FALSE)</f>
        <v/>
      </c>
      <c r="J169" s="2" t="str">
        <f>VLOOKUP(B169,Raw_Data_Collection!$B$2:$J$215,9,FALSE)</f>
        <v/>
      </c>
      <c r="K169" s="18">
        <f>VLOOKUP(B169,Real_Estate_Stats_Preferred!$A$2:$G$215,7,FALSE)</f>
        <v>10176571.43</v>
      </c>
      <c r="L169" s="18">
        <f t="shared" si="1"/>
        <v>1589823429</v>
      </c>
      <c r="M169" s="4">
        <v>0.37</v>
      </c>
      <c r="N169" s="4">
        <v>0.05</v>
      </c>
      <c r="O169" s="29">
        <f t="shared" si="2"/>
        <v>79491171.43</v>
      </c>
      <c r="P169" s="29">
        <f t="shared" si="3"/>
        <v>126176462.6</v>
      </c>
      <c r="Q169" s="29">
        <f t="shared" si="4"/>
        <v>46685291.16</v>
      </c>
      <c r="R169" s="4">
        <v>0.075</v>
      </c>
      <c r="S169" s="29">
        <f t="shared" si="5"/>
        <v>91414847.14</v>
      </c>
      <c r="T169" s="29">
        <f t="shared" si="6"/>
        <v>145102932</v>
      </c>
      <c r="U169" s="29">
        <f t="shared" si="7"/>
        <v>53688084.83</v>
      </c>
    </row>
    <row r="170" ht="14.25" customHeight="1">
      <c r="A170" s="4">
        <v>168.0</v>
      </c>
      <c r="B170" s="2" t="s">
        <v>554</v>
      </c>
      <c r="C170" s="2" t="s">
        <v>545</v>
      </c>
      <c r="D170" s="3">
        <v>1.6E9</v>
      </c>
      <c r="E170" s="2" t="s">
        <v>100</v>
      </c>
      <c r="F170" s="4" t="str">
        <f>VLOOKUP(B170,Raw_Data_Collection!$B$2:$F$215,5,FALSE)</f>
        <v>N</v>
      </c>
      <c r="G170" s="3" t="str">
        <f>VLOOKUP(B170,Raw_Data_Collection!$B$2:$J$215,6,FALSE)</f>
        <v/>
      </c>
      <c r="J170" s="2" t="str">
        <f>VLOOKUP(B170,Raw_Data_Collection!$B$2:$J$215,9,FALSE)</f>
        <v/>
      </c>
      <c r="K170" s="18">
        <f>VLOOKUP(B170,Real_Estate_Stats_Preferred!$A$2:$G$215,7,FALSE)</f>
        <v>10176571.43</v>
      </c>
      <c r="L170" s="18">
        <f t="shared" si="1"/>
        <v>1589823429</v>
      </c>
      <c r="M170" s="4">
        <v>0.37</v>
      </c>
      <c r="N170" s="4">
        <v>0.05</v>
      </c>
      <c r="O170" s="29">
        <f t="shared" si="2"/>
        <v>79491171.43</v>
      </c>
      <c r="P170" s="29">
        <f t="shared" si="3"/>
        <v>126176462.6</v>
      </c>
      <c r="Q170" s="29">
        <f t="shared" si="4"/>
        <v>46685291.16</v>
      </c>
      <c r="R170" s="4">
        <v>0.075</v>
      </c>
      <c r="S170" s="29">
        <f t="shared" si="5"/>
        <v>91414847.14</v>
      </c>
      <c r="T170" s="29">
        <f t="shared" si="6"/>
        <v>145102932</v>
      </c>
      <c r="U170" s="29">
        <f t="shared" si="7"/>
        <v>53688084.83</v>
      </c>
    </row>
    <row r="171" ht="14.25" customHeight="1">
      <c r="A171" s="4">
        <v>169.0</v>
      </c>
      <c r="B171" s="2" t="s">
        <v>555</v>
      </c>
      <c r="C171" s="2" t="s">
        <v>545</v>
      </c>
      <c r="D171" s="3">
        <v>1.6E9</v>
      </c>
      <c r="E171" s="2" t="s">
        <v>47</v>
      </c>
      <c r="F171" s="4" t="str">
        <f>VLOOKUP(B171,Raw_Data_Collection!$B$2:$F$215,5,FALSE)</f>
        <v>N</v>
      </c>
      <c r="G171" s="3">
        <f>VLOOKUP(B171,Raw_Data_Collection!$B$2:$J$215,6,FALSE)</f>
        <v>15000000</v>
      </c>
      <c r="H171" s="5" t="s">
        <v>556</v>
      </c>
      <c r="I171" s="4">
        <v>2017.0</v>
      </c>
      <c r="J171" s="2" t="str">
        <f>VLOOKUP(B171,Raw_Data_Collection!$B$2:$J$215,9,FALSE)</f>
        <v/>
      </c>
      <c r="K171" s="18">
        <f>VLOOKUP(B171,Real_Estate_Stats_Preferred!$A$2:$G$215,7,FALSE)</f>
        <v>15000000</v>
      </c>
      <c r="L171" s="18">
        <f t="shared" si="1"/>
        <v>1585000000</v>
      </c>
      <c r="M171" s="4">
        <v>0.37</v>
      </c>
      <c r="N171" s="4">
        <v>0.05</v>
      </c>
      <c r="O171" s="29">
        <f t="shared" si="2"/>
        <v>79250000</v>
      </c>
      <c r="P171" s="29">
        <f t="shared" si="3"/>
        <v>125793650.8</v>
      </c>
      <c r="Q171" s="29">
        <f t="shared" si="4"/>
        <v>46543650.79</v>
      </c>
      <c r="R171" s="4">
        <v>0.075</v>
      </c>
      <c r="S171" s="29">
        <f t="shared" si="5"/>
        <v>91137500</v>
      </c>
      <c r="T171" s="29">
        <f t="shared" si="6"/>
        <v>144662698.4</v>
      </c>
      <c r="U171" s="29">
        <f t="shared" si="7"/>
        <v>53525198.41</v>
      </c>
      <c r="V171" s="4"/>
      <c r="W171" s="4"/>
    </row>
    <row r="172" ht="14.25" customHeight="1">
      <c r="A172" s="4">
        <v>170.0</v>
      </c>
      <c r="B172" s="2" t="s">
        <v>557</v>
      </c>
      <c r="C172" s="2" t="s">
        <v>545</v>
      </c>
      <c r="D172" s="3">
        <v>1.6E9</v>
      </c>
      <c r="E172" s="2" t="s">
        <v>308</v>
      </c>
      <c r="F172" s="4" t="str">
        <f>VLOOKUP(B172,Raw_Data_Collection!$B$2:$F$215,5,FALSE)</f>
        <v>N</v>
      </c>
      <c r="G172" s="3">
        <f>VLOOKUP(B172,Raw_Data_Collection!$B$2:$J$215,6,FALSE)</f>
        <v>8030000</v>
      </c>
      <c r="H172" s="5" t="s">
        <v>558</v>
      </c>
      <c r="I172" s="4">
        <v>2026.0</v>
      </c>
      <c r="J172" s="18">
        <f>VLOOKUP(B172,Raw_Data_Collection!$B$2:$J$215,9,FALSE)</f>
        <v>8030000</v>
      </c>
      <c r="K172" s="18">
        <f>VLOOKUP(B172,Real_Estate_Stats_Preferred!$A$2:$G$215,7,FALSE)</f>
        <v>8030000</v>
      </c>
      <c r="L172" s="18">
        <f t="shared" si="1"/>
        <v>1591970000</v>
      </c>
      <c r="M172" s="4">
        <v>0.37</v>
      </c>
      <c r="N172" s="4">
        <v>0.05</v>
      </c>
      <c r="O172" s="29">
        <f t="shared" si="2"/>
        <v>79598500</v>
      </c>
      <c r="P172" s="29">
        <f t="shared" si="3"/>
        <v>126346825.4</v>
      </c>
      <c r="Q172" s="29">
        <f t="shared" si="4"/>
        <v>46748325.4</v>
      </c>
      <c r="R172" s="4">
        <v>0.075</v>
      </c>
      <c r="S172" s="29">
        <f t="shared" si="5"/>
        <v>91538275</v>
      </c>
      <c r="T172" s="29">
        <f t="shared" si="6"/>
        <v>145298849.2</v>
      </c>
      <c r="U172" s="29">
        <f t="shared" si="7"/>
        <v>53760574.21</v>
      </c>
      <c r="V172" s="4"/>
      <c r="W172" s="4"/>
    </row>
    <row r="173" ht="14.25" customHeight="1">
      <c r="A173" s="4">
        <v>171.0</v>
      </c>
      <c r="B173" s="2" t="s">
        <v>560</v>
      </c>
      <c r="C173" s="2" t="s">
        <v>545</v>
      </c>
      <c r="D173" s="3">
        <v>1.6E9</v>
      </c>
      <c r="E173" s="2" t="s">
        <v>100</v>
      </c>
      <c r="F173" s="4" t="str">
        <f>VLOOKUP(B173,Raw_Data_Collection!$B$2:$F$215,5,FALSE)</f>
        <v>N</v>
      </c>
      <c r="G173" s="3" t="str">
        <f>VLOOKUP(B173,Raw_Data_Collection!$B$2:$J$215,6,FALSE)</f>
        <v/>
      </c>
      <c r="J173" s="18">
        <f>VLOOKUP(B173,Raw_Data_Collection!$B$2:$J$215,9,FALSE)</f>
        <v>10961462</v>
      </c>
      <c r="K173" s="18">
        <f>VLOOKUP(B173,Real_Estate_Stats_Preferred!$A$2:$G$215,7,FALSE)</f>
        <v>10961462</v>
      </c>
      <c r="L173" s="18">
        <f t="shared" si="1"/>
        <v>1589038538</v>
      </c>
      <c r="M173" s="4">
        <v>0.37</v>
      </c>
      <c r="N173" s="4">
        <v>0.05</v>
      </c>
      <c r="O173" s="29">
        <f t="shared" si="2"/>
        <v>79451926.9</v>
      </c>
      <c r="P173" s="29">
        <f t="shared" si="3"/>
        <v>126114169.7</v>
      </c>
      <c r="Q173" s="29">
        <f t="shared" si="4"/>
        <v>46662242.78</v>
      </c>
      <c r="R173" s="4">
        <v>0.075</v>
      </c>
      <c r="S173" s="29">
        <f t="shared" si="5"/>
        <v>91369715.94</v>
      </c>
      <c r="T173" s="29">
        <f t="shared" si="6"/>
        <v>145031295.1</v>
      </c>
      <c r="U173" s="29">
        <f t="shared" si="7"/>
        <v>53661579.2</v>
      </c>
    </row>
    <row r="174" ht="14.25" customHeight="1">
      <c r="A174" s="4">
        <v>172.0</v>
      </c>
      <c r="B174" s="2" t="s">
        <v>563</v>
      </c>
      <c r="C174" s="2" t="s">
        <v>545</v>
      </c>
      <c r="D174" s="3">
        <v>1.6E9</v>
      </c>
      <c r="E174" s="2" t="s">
        <v>63</v>
      </c>
      <c r="F174" s="4" t="str">
        <f>VLOOKUP(B174,Raw_Data_Collection!$B$2:$F$215,5,FALSE)</f>
        <v>N</v>
      </c>
      <c r="G174" s="3" t="str">
        <f>VLOOKUP(B174,Raw_Data_Collection!$B$2:$J$215,6,FALSE)</f>
        <v/>
      </c>
      <c r="J174" s="2" t="str">
        <f>VLOOKUP(B174,Raw_Data_Collection!$B$2:$J$215,9,FALSE)</f>
        <v/>
      </c>
      <c r="K174" s="18">
        <f>VLOOKUP(B174,Real_Estate_Stats_Preferred!$A$2:$G$215,7,FALSE)</f>
        <v>10176571.43</v>
      </c>
      <c r="L174" s="18">
        <f t="shared" si="1"/>
        <v>1589823429</v>
      </c>
      <c r="M174" s="4">
        <v>0.37</v>
      </c>
      <c r="N174" s="4">
        <v>0.05</v>
      </c>
      <c r="O174" s="29">
        <f t="shared" si="2"/>
        <v>79491171.43</v>
      </c>
      <c r="P174" s="29">
        <f t="shared" si="3"/>
        <v>126176462.6</v>
      </c>
      <c r="Q174" s="29">
        <f t="shared" si="4"/>
        <v>46685291.16</v>
      </c>
      <c r="R174" s="4">
        <v>0.075</v>
      </c>
      <c r="S174" s="29">
        <f t="shared" si="5"/>
        <v>91414847.14</v>
      </c>
      <c r="T174" s="29">
        <f t="shared" si="6"/>
        <v>145102932</v>
      </c>
      <c r="U174" s="29">
        <f t="shared" si="7"/>
        <v>53688084.83</v>
      </c>
    </row>
    <row r="175" ht="14.25" customHeight="1">
      <c r="A175" s="4">
        <v>173.0</v>
      </c>
      <c r="B175" s="2" t="s">
        <v>564</v>
      </c>
      <c r="C175" s="2" t="s">
        <v>545</v>
      </c>
      <c r="D175" s="3">
        <v>1.6E9</v>
      </c>
      <c r="E175" s="2" t="s">
        <v>565</v>
      </c>
      <c r="F175" s="4" t="str">
        <f>VLOOKUP(B175,Raw_Data_Collection!$B$2:$F$215,5,FALSE)</f>
        <v>N</v>
      </c>
      <c r="G175" s="3" t="str">
        <f>VLOOKUP(B175,Raw_Data_Collection!$B$2:$J$215,6,FALSE)</f>
        <v/>
      </c>
      <c r="J175" s="2" t="str">
        <f>VLOOKUP(B175,Raw_Data_Collection!$B$2:$J$215,9,FALSE)</f>
        <v/>
      </c>
      <c r="K175" s="18">
        <f>VLOOKUP(B175,Real_Estate_Stats_Preferred!$A$2:$G$215,7,FALSE)</f>
        <v>10176571.43</v>
      </c>
      <c r="L175" s="18">
        <f t="shared" si="1"/>
        <v>1589823429</v>
      </c>
      <c r="M175" s="4">
        <v>0.37</v>
      </c>
      <c r="N175" s="4">
        <v>0.05</v>
      </c>
      <c r="O175" s="29">
        <f t="shared" si="2"/>
        <v>79491171.43</v>
      </c>
      <c r="P175" s="29">
        <f t="shared" si="3"/>
        <v>126176462.6</v>
      </c>
      <c r="Q175" s="29">
        <f t="shared" si="4"/>
        <v>46685291.16</v>
      </c>
      <c r="R175" s="4">
        <v>0.075</v>
      </c>
      <c r="S175" s="29">
        <f t="shared" si="5"/>
        <v>91414847.14</v>
      </c>
      <c r="T175" s="29">
        <f t="shared" si="6"/>
        <v>145102932</v>
      </c>
      <c r="U175" s="29">
        <f t="shared" si="7"/>
        <v>53688084.83</v>
      </c>
    </row>
    <row r="176" ht="14.25" customHeight="1">
      <c r="A176" s="4">
        <v>174.0</v>
      </c>
      <c r="B176" s="2" t="s">
        <v>566</v>
      </c>
      <c r="C176" s="2" t="s">
        <v>567</v>
      </c>
      <c r="D176" s="3">
        <v>1.5E9</v>
      </c>
      <c r="E176" s="2" t="s">
        <v>100</v>
      </c>
      <c r="F176" s="4" t="str">
        <f>VLOOKUP(B176,Raw_Data_Collection!$B$2:$F$215,5,FALSE)</f>
        <v>N</v>
      </c>
      <c r="G176" s="3">
        <f>VLOOKUP(B176,Raw_Data_Collection!$B$2:$J$215,6,FALSE)</f>
        <v>15398401</v>
      </c>
      <c r="H176" s="5" t="s">
        <v>568</v>
      </c>
      <c r="I176" s="4">
        <v>2026.0</v>
      </c>
      <c r="J176" s="18">
        <f>VLOOKUP(B176,Raw_Data_Collection!$B$2:$J$215,9,FALSE)</f>
        <v>15398401</v>
      </c>
      <c r="K176" s="18">
        <f>VLOOKUP(B176,Real_Estate_Stats_Preferred!$A$2:$G$215,7,FALSE)</f>
        <v>15398401</v>
      </c>
      <c r="L176" s="18">
        <f t="shared" si="1"/>
        <v>1484601599</v>
      </c>
      <c r="M176" s="4">
        <v>0.37</v>
      </c>
      <c r="N176" s="4">
        <v>0.05</v>
      </c>
      <c r="O176" s="29">
        <f t="shared" si="2"/>
        <v>74230079.95</v>
      </c>
      <c r="P176" s="29">
        <f t="shared" si="3"/>
        <v>117825523.7</v>
      </c>
      <c r="Q176" s="29">
        <f t="shared" si="4"/>
        <v>43595443.78</v>
      </c>
      <c r="R176" s="4">
        <v>0.075</v>
      </c>
      <c r="S176" s="29">
        <f t="shared" si="5"/>
        <v>85364591.94</v>
      </c>
      <c r="T176" s="29">
        <f t="shared" si="6"/>
        <v>135499352.3</v>
      </c>
      <c r="U176" s="29">
        <f t="shared" si="7"/>
        <v>50134760.35</v>
      </c>
      <c r="V176" s="4"/>
      <c r="W176" s="4"/>
      <c r="X176" s="9" t="s">
        <v>804</v>
      </c>
    </row>
    <row r="177" ht="14.25" customHeight="1">
      <c r="A177" s="4">
        <v>175.0</v>
      </c>
      <c r="B177" s="2" t="s">
        <v>570</v>
      </c>
      <c r="C177" s="2" t="s">
        <v>567</v>
      </c>
      <c r="D177" s="3">
        <v>1.5E9</v>
      </c>
      <c r="E177" s="2" t="s">
        <v>80</v>
      </c>
      <c r="F177" s="4" t="str">
        <f>VLOOKUP(B177,Raw_Data_Collection!$B$2:$F$215,5,FALSE)</f>
        <v>N</v>
      </c>
      <c r="G177" s="3">
        <f>VLOOKUP(B177,Raw_Data_Collection!$B$2:$J$215,6,FALSE)</f>
        <v>15713764</v>
      </c>
      <c r="H177" s="5" t="s">
        <v>571</v>
      </c>
      <c r="I177" s="4">
        <v>2026.0</v>
      </c>
      <c r="J177" s="18">
        <f>VLOOKUP(B177,Raw_Data_Collection!$B$2:$J$215,9,FALSE)</f>
        <v>15713764</v>
      </c>
      <c r="K177" s="18">
        <f>VLOOKUP(B177,Real_Estate_Stats_Preferred!$A$2:$G$215,7,FALSE)</f>
        <v>15713764</v>
      </c>
      <c r="L177" s="18">
        <f t="shared" si="1"/>
        <v>1484286236</v>
      </c>
      <c r="M177" s="4">
        <v>0.37</v>
      </c>
      <c r="N177" s="4">
        <v>0.05</v>
      </c>
      <c r="O177" s="29">
        <f t="shared" si="2"/>
        <v>74214311.8</v>
      </c>
      <c r="P177" s="29">
        <f t="shared" si="3"/>
        <v>117800494.9</v>
      </c>
      <c r="Q177" s="29">
        <f t="shared" si="4"/>
        <v>43586183.12</v>
      </c>
      <c r="R177" s="4">
        <v>0.075</v>
      </c>
      <c r="S177" s="29">
        <f t="shared" si="5"/>
        <v>85346458.57</v>
      </c>
      <c r="T177" s="29">
        <f t="shared" si="6"/>
        <v>135470569.2</v>
      </c>
      <c r="U177" s="29">
        <f t="shared" si="7"/>
        <v>50124110.59</v>
      </c>
      <c r="V177" s="4"/>
      <c r="W177" s="4"/>
      <c r="X177" s="9" t="s">
        <v>805</v>
      </c>
    </row>
    <row r="178" ht="14.25" customHeight="1">
      <c r="A178" s="4">
        <v>176.0</v>
      </c>
      <c r="B178" s="2" t="s">
        <v>573</v>
      </c>
      <c r="C178" s="2" t="s">
        <v>567</v>
      </c>
      <c r="D178" s="3">
        <v>1.5E9</v>
      </c>
      <c r="E178" s="2" t="s">
        <v>47</v>
      </c>
      <c r="F178" s="4" t="str">
        <f>VLOOKUP(B178,Raw_Data_Collection!$B$2:$F$215,5,FALSE)</f>
        <v>N</v>
      </c>
      <c r="G178" s="3" t="str">
        <f>VLOOKUP(B178,Raw_Data_Collection!$B$2:$J$215,6,FALSE)</f>
        <v/>
      </c>
      <c r="J178" s="2" t="str">
        <f>VLOOKUP(B178,Raw_Data_Collection!$B$2:$J$215,9,FALSE)</f>
        <v/>
      </c>
      <c r="K178" s="18">
        <f>VLOOKUP(B178,Real_Estate_Stats_Preferred!$A$2:$G$215,7,FALSE)</f>
        <v>9540535.714</v>
      </c>
      <c r="L178" s="18">
        <f t="shared" si="1"/>
        <v>1490459464</v>
      </c>
      <c r="M178" s="4">
        <v>0.37</v>
      </c>
      <c r="N178" s="4">
        <v>0.05</v>
      </c>
      <c r="O178" s="29">
        <f t="shared" si="2"/>
        <v>74522973.21</v>
      </c>
      <c r="P178" s="29">
        <f t="shared" si="3"/>
        <v>118290433.7</v>
      </c>
      <c r="Q178" s="29">
        <f t="shared" si="4"/>
        <v>43767460.46</v>
      </c>
      <c r="R178" s="4">
        <v>0.075</v>
      </c>
      <c r="S178" s="29">
        <f t="shared" si="5"/>
        <v>85701419.2</v>
      </c>
      <c r="T178" s="29">
        <f t="shared" si="6"/>
        <v>136033998.7</v>
      </c>
      <c r="U178" s="29">
        <f t="shared" si="7"/>
        <v>50332579.53</v>
      </c>
    </row>
    <row r="179" ht="14.25" customHeight="1">
      <c r="A179" s="4">
        <v>177.0</v>
      </c>
      <c r="B179" s="2" t="s">
        <v>574</v>
      </c>
      <c r="C179" s="2" t="s">
        <v>567</v>
      </c>
      <c r="D179" s="3">
        <v>1.5E9</v>
      </c>
      <c r="E179" s="2" t="s">
        <v>100</v>
      </c>
      <c r="F179" s="4" t="str">
        <f>VLOOKUP(B179,Raw_Data_Collection!$B$2:$F$215,5,FALSE)</f>
        <v>N</v>
      </c>
      <c r="G179" s="3">
        <f>VLOOKUP(B179,Raw_Data_Collection!$B$2:$J$215,6,FALSE)</f>
        <v>6085000</v>
      </c>
      <c r="H179" s="5" t="s">
        <v>575</v>
      </c>
      <c r="I179" s="4">
        <v>2026.0</v>
      </c>
      <c r="J179" s="18">
        <f>VLOOKUP(B179,Raw_Data_Collection!$B$2:$J$215,9,FALSE)</f>
        <v>6016000</v>
      </c>
      <c r="K179" s="18">
        <f>VLOOKUP(B179,Real_Estate_Stats_Preferred!$A$2:$G$215,7,FALSE)</f>
        <v>6016000</v>
      </c>
      <c r="L179" s="18">
        <f t="shared" si="1"/>
        <v>1493984000</v>
      </c>
      <c r="M179" s="4">
        <v>0.37</v>
      </c>
      <c r="N179" s="4">
        <v>0.05</v>
      </c>
      <c r="O179" s="29">
        <f t="shared" si="2"/>
        <v>74699200</v>
      </c>
      <c r="P179" s="29">
        <f t="shared" si="3"/>
        <v>118570158.7</v>
      </c>
      <c r="Q179" s="29">
        <f t="shared" si="4"/>
        <v>43870958.73</v>
      </c>
      <c r="R179" s="4">
        <v>0.075</v>
      </c>
      <c r="S179" s="29">
        <f t="shared" si="5"/>
        <v>85904080</v>
      </c>
      <c r="T179" s="29">
        <f t="shared" si="6"/>
        <v>136355682.5</v>
      </c>
      <c r="U179" s="29">
        <f t="shared" si="7"/>
        <v>50451602.54</v>
      </c>
      <c r="V179" s="4"/>
      <c r="W179" s="4"/>
      <c r="X179" s="6" t="s">
        <v>806</v>
      </c>
    </row>
    <row r="180" ht="14.25" customHeight="1">
      <c r="A180" s="4">
        <v>178.0</v>
      </c>
      <c r="B180" s="2" t="s">
        <v>577</v>
      </c>
      <c r="C180" s="2" t="s">
        <v>567</v>
      </c>
      <c r="D180" s="3">
        <v>1.5E9</v>
      </c>
      <c r="E180" s="2" t="s">
        <v>100</v>
      </c>
      <c r="F180" s="4" t="str">
        <f>VLOOKUP(B180,Raw_Data_Collection!$B$2:$F$215,5,FALSE)</f>
        <v>N</v>
      </c>
      <c r="G180" s="3" t="str">
        <f>VLOOKUP(B180,Raw_Data_Collection!$B$2:$J$215,6,FALSE)</f>
        <v/>
      </c>
      <c r="J180" s="2" t="str">
        <f>VLOOKUP(B180,Raw_Data_Collection!$B$2:$J$215,9,FALSE)</f>
        <v/>
      </c>
      <c r="K180" s="18">
        <f>VLOOKUP(B180,Real_Estate_Stats_Preferred!$A$2:$G$215,7,FALSE)</f>
        <v>9540535.714</v>
      </c>
      <c r="L180" s="18">
        <f t="shared" si="1"/>
        <v>1490459464</v>
      </c>
      <c r="M180" s="4">
        <v>0.37</v>
      </c>
      <c r="N180" s="4">
        <v>0.05</v>
      </c>
      <c r="O180" s="29">
        <f t="shared" si="2"/>
        <v>74522973.21</v>
      </c>
      <c r="P180" s="29">
        <f t="shared" si="3"/>
        <v>118290433.7</v>
      </c>
      <c r="Q180" s="29">
        <f t="shared" si="4"/>
        <v>43767460.46</v>
      </c>
      <c r="R180" s="4">
        <v>0.075</v>
      </c>
      <c r="S180" s="29">
        <f t="shared" si="5"/>
        <v>85701419.2</v>
      </c>
      <c r="T180" s="29">
        <f t="shared" si="6"/>
        <v>136033998.7</v>
      </c>
      <c r="U180" s="29">
        <f t="shared" si="7"/>
        <v>50332579.53</v>
      </c>
    </row>
    <row r="181" ht="14.25" customHeight="1">
      <c r="A181" s="4">
        <v>179.0</v>
      </c>
      <c r="B181" s="2" t="s">
        <v>578</v>
      </c>
      <c r="C181" s="2" t="s">
        <v>567</v>
      </c>
      <c r="D181" s="3">
        <v>1.5E9</v>
      </c>
      <c r="E181" s="2" t="s">
        <v>579</v>
      </c>
      <c r="F181" s="4" t="str">
        <f>VLOOKUP(B181,Raw_Data_Collection!$B$2:$F$215,5,FALSE)</f>
        <v>N</v>
      </c>
      <c r="G181" s="3" t="str">
        <f>VLOOKUP(B181,Raw_Data_Collection!$B$2:$J$215,6,FALSE)</f>
        <v/>
      </c>
      <c r="J181" s="2" t="str">
        <f>VLOOKUP(B181,Raw_Data_Collection!$B$2:$J$215,9,FALSE)</f>
        <v/>
      </c>
      <c r="K181" s="18">
        <f>VLOOKUP(B181,Real_Estate_Stats_Preferred!$A$2:$G$215,7,FALSE)</f>
        <v>9540535.714</v>
      </c>
      <c r="L181" s="18">
        <f t="shared" si="1"/>
        <v>1490459464</v>
      </c>
      <c r="M181" s="4">
        <v>0.37</v>
      </c>
      <c r="N181" s="4">
        <v>0.05</v>
      </c>
      <c r="O181" s="29">
        <f t="shared" si="2"/>
        <v>74522973.21</v>
      </c>
      <c r="P181" s="29">
        <f t="shared" si="3"/>
        <v>118290433.7</v>
      </c>
      <c r="Q181" s="29">
        <f t="shared" si="4"/>
        <v>43767460.46</v>
      </c>
      <c r="R181" s="4">
        <v>0.075</v>
      </c>
      <c r="S181" s="29">
        <f t="shared" si="5"/>
        <v>85701419.2</v>
      </c>
      <c r="T181" s="29">
        <f t="shared" si="6"/>
        <v>136033998.7</v>
      </c>
      <c r="U181" s="29">
        <f t="shared" si="7"/>
        <v>50332579.53</v>
      </c>
    </row>
    <row r="182" ht="14.25" customHeight="1">
      <c r="A182" s="4">
        <v>180.0</v>
      </c>
      <c r="B182" s="2" t="s">
        <v>580</v>
      </c>
      <c r="C182" s="2" t="s">
        <v>567</v>
      </c>
      <c r="D182" s="3">
        <v>1.5E9</v>
      </c>
      <c r="E182" s="2" t="s">
        <v>100</v>
      </c>
      <c r="F182" s="4" t="str">
        <f>VLOOKUP(B182,Raw_Data_Collection!$B$2:$F$215,5,FALSE)</f>
        <v>N</v>
      </c>
      <c r="G182" s="3" t="str">
        <f>VLOOKUP(B182,Raw_Data_Collection!$B$2:$J$215,6,FALSE)</f>
        <v/>
      </c>
      <c r="J182" s="2" t="str">
        <f>VLOOKUP(B182,Raw_Data_Collection!$B$2:$J$215,9,FALSE)</f>
        <v/>
      </c>
      <c r="K182" s="18">
        <f>VLOOKUP(B182,Real_Estate_Stats_Preferred!$A$2:$G$215,7,FALSE)</f>
        <v>9540535.714</v>
      </c>
      <c r="L182" s="18">
        <f t="shared" si="1"/>
        <v>1490459464</v>
      </c>
      <c r="M182" s="4">
        <v>0.37</v>
      </c>
      <c r="N182" s="4">
        <v>0.05</v>
      </c>
      <c r="O182" s="29">
        <f t="shared" si="2"/>
        <v>74522973.21</v>
      </c>
      <c r="P182" s="29">
        <f t="shared" si="3"/>
        <v>118290433.7</v>
      </c>
      <c r="Q182" s="29">
        <f t="shared" si="4"/>
        <v>43767460.46</v>
      </c>
      <c r="R182" s="4">
        <v>0.075</v>
      </c>
      <c r="S182" s="29">
        <f t="shared" si="5"/>
        <v>85701419.2</v>
      </c>
      <c r="T182" s="29">
        <f t="shared" si="6"/>
        <v>136033998.7</v>
      </c>
      <c r="U182" s="29">
        <f t="shared" si="7"/>
        <v>50332579.53</v>
      </c>
    </row>
    <row r="183" ht="14.25" customHeight="1">
      <c r="A183" s="4">
        <v>181.0</v>
      </c>
      <c r="B183" s="2" t="s">
        <v>581</v>
      </c>
      <c r="C183" s="2" t="s">
        <v>567</v>
      </c>
      <c r="D183" s="3">
        <v>1.5E9</v>
      </c>
      <c r="E183" s="2" t="s">
        <v>218</v>
      </c>
      <c r="F183" s="4" t="str">
        <f>VLOOKUP(B183,Raw_Data_Collection!$B$2:$F$215,5,FALSE)</f>
        <v>N</v>
      </c>
      <c r="G183" s="3">
        <f>VLOOKUP(B183,Raw_Data_Collection!$B$2:$J$215,6,FALSE)</f>
        <v>40000000</v>
      </c>
      <c r="H183" s="5" t="s">
        <v>582</v>
      </c>
      <c r="I183" s="4">
        <v>2024.0</v>
      </c>
      <c r="J183" s="18">
        <f>VLOOKUP(B183,Raw_Data_Collection!$B$2:$J$215,9,FALSE)</f>
        <v>8195833</v>
      </c>
      <c r="K183" s="18">
        <f>VLOOKUP(B183,Real_Estate_Stats_Preferred!$A$2:$G$215,7,FALSE)</f>
        <v>8195833</v>
      </c>
      <c r="L183" s="18">
        <f t="shared" si="1"/>
        <v>1491804167</v>
      </c>
      <c r="M183" s="4">
        <v>0.37</v>
      </c>
      <c r="N183" s="4">
        <v>0.05</v>
      </c>
      <c r="O183" s="29">
        <f t="shared" si="2"/>
        <v>74590208.35</v>
      </c>
      <c r="P183" s="29">
        <f t="shared" si="3"/>
        <v>118397156.1</v>
      </c>
      <c r="Q183" s="29">
        <f t="shared" si="4"/>
        <v>43806947.76</v>
      </c>
      <c r="R183" s="4">
        <v>0.075</v>
      </c>
      <c r="S183" s="29">
        <f t="shared" si="5"/>
        <v>85778739.6</v>
      </c>
      <c r="T183" s="29">
        <f t="shared" si="6"/>
        <v>136156729.5</v>
      </c>
      <c r="U183" s="29">
        <f t="shared" si="7"/>
        <v>50377989.93</v>
      </c>
      <c r="V183" s="4"/>
      <c r="W183" s="4"/>
    </row>
    <row r="184" ht="14.25" customHeight="1">
      <c r="A184" s="4">
        <v>182.0</v>
      </c>
      <c r="B184" s="2" t="s">
        <v>585</v>
      </c>
      <c r="C184" s="2" t="s">
        <v>567</v>
      </c>
      <c r="D184" s="3">
        <v>1.5E9</v>
      </c>
      <c r="E184" s="2" t="s">
        <v>586</v>
      </c>
      <c r="F184" s="4" t="str">
        <f>VLOOKUP(B184,Raw_Data_Collection!$B$2:$F$215,5,FALSE)</f>
        <v>N</v>
      </c>
      <c r="G184" s="3">
        <f>VLOOKUP(B184,Raw_Data_Collection!$B$2:$J$215,6,FALSE)</f>
        <v>3654299</v>
      </c>
      <c r="J184" s="18">
        <f>VLOOKUP(B184,Raw_Data_Collection!$B$2:$J$215,9,FALSE)</f>
        <v>31118167</v>
      </c>
      <c r="K184" s="18">
        <f>VLOOKUP(B184,Real_Estate_Stats_Preferred!$A$2:$G$215,7,FALSE)</f>
        <v>9540535.714</v>
      </c>
      <c r="L184" s="18">
        <f t="shared" si="1"/>
        <v>1490459464</v>
      </c>
      <c r="M184" s="4">
        <v>0.37</v>
      </c>
      <c r="N184" s="4">
        <v>0.05</v>
      </c>
      <c r="O184" s="29">
        <f t="shared" si="2"/>
        <v>74522973.21</v>
      </c>
      <c r="P184" s="29">
        <f t="shared" si="3"/>
        <v>118290433.7</v>
      </c>
      <c r="Q184" s="29">
        <f t="shared" si="4"/>
        <v>43767460.46</v>
      </c>
      <c r="R184" s="4">
        <v>0.075</v>
      </c>
      <c r="S184" s="29">
        <f t="shared" si="5"/>
        <v>85701419.2</v>
      </c>
      <c r="T184" s="29">
        <f t="shared" si="6"/>
        <v>136033998.7</v>
      </c>
      <c r="U184" s="29">
        <f t="shared" si="7"/>
        <v>50332579.53</v>
      </c>
    </row>
    <row r="185" ht="14.25" customHeight="1">
      <c r="A185" s="4">
        <v>183.0</v>
      </c>
      <c r="B185" s="2" t="s">
        <v>590</v>
      </c>
      <c r="C185" s="2" t="s">
        <v>591</v>
      </c>
      <c r="D185" s="3">
        <v>1.4E9</v>
      </c>
      <c r="E185" s="2" t="s">
        <v>47</v>
      </c>
      <c r="F185" s="4" t="str">
        <f>VLOOKUP(B185,Raw_Data_Collection!$B$2:$F$215,5,FALSE)</f>
        <v>N</v>
      </c>
      <c r="G185" s="3">
        <f>VLOOKUP(B185,Raw_Data_Collection!$B$2:$J$215,6,FALSE)</f>
        <v>7196000</v>
      </c>
      <c r="H185" s="5" t="s">
        <v>592</v>
      </c>
      <c r="I185" s="4">
        <v>2026.0</v>
      </c>
      <c r="J185" s="18">
        <f>VLOOKUP(B185,Raw_Data_Collection!$B$2:$J$215,9,FALSE)</f>
        <v>19420738</v>
      </c>
      <c r="K185" s="18">
        <f>VLOOKUP(B185,Real_Estate_Stats_Preferred!$A$2:$G$215,7,FALSE)</f>
        <v>19420738</v>
      </c>
      <c r="L185" s="18">
        <f t="shared" si="1"/>
        <v>1380579262</v>
      </c>
      <c r="M185" s="4">
        <v>0.37</v>
      </c>
      <c r="N185" s="4">
        <v>0.05</v>
      </c>
      <c r="O185" s="29">
        <f t="shared" si="2"/>
        <v>69028963.1</v>
      </c>
      <c r="P185" s="29">
        <f t="shared" si="3"/>
        <v>109569782.7</v>
      </c>
      <c r="Q185" s="29">
        <f t="shared" si="4"/>
        <v>40540819.6</v>
      </c>
      <c r="R185" s="4">
        <v>0.075</v>
      </c>
      <c r="S185" s="29">
        <f t="shared" si="5"/>
        <v>79383307.57</v>
      </c>
      <c r="T185" s="29">
        <f t="shared" si="6"/>
        <v>126005250.1</v>
      </c>
      <c r="U185" s="29">
        <f t="shared" si="7"/>
        <v>46621942.54</v>
      </c>
      <c r="V185" s="4"/>
      <c r="W185" s="4"/>
      <c r="X185" s="6" t="s">
        <v>807</v>
      </c>
    </row>
    <row r="186" ht="14.25" customHeight="1">
      <c r="A186" s="4">
        <v>184.0</v>
      </c>
      <c r="B186" s="2" t="s">
        <v>595</v>
      </c>
      <c r="C186" s="2" t="s">
        <v>591</v>
      </c>
      <c r="D186" s="3">
        <v>1.4E9</v>
      </c>
      <c r="E186" s="2" t="s">
        <v>218</v>
      </c>
      <c r="F186" s="4" t="str">
        <f>VLOOKUP(B186,Raw_Data_Collection!$B$2:$F$215,5,FALSE)</f>
        <v>N</v>
      </c>
      <c r="G186" s="3">
        <f>VLOOKUP(B186,Raw_Data_Collection!$B$2:$J$215,6,FALSE)</f>
        <v>7271292</v>
      </c>
      <c r="J186" s="18">
        <f>VLOOKUP(B186,Raw_Data_Collection!$B$2:$J$215,9,FALSE)</f>
        <v>7271292</v>
      </c>
      <c r="K186" s="18">
        <f>VLOOKUP(B186,Real_Estate_Stats_Preferred!$A$2:$G$215,7,FALSE)</f>
        <v>7271292</v>
      </c>
      <c r="L186" s="18">
        <f t="shared" si="1"/>
        <v>1392728708</v>
      </c>
      <c r="M186" s="4">
        <v>0.37</v>
      </c>
      <c r="N186" s="4">
        <v>0.05</v>
      </c>
      <c r="O186" s="29">
        <f t="shared" si="2"/>
        <v>69636435.4</v>
      </c>
      <c r="P186" s="29">
        <f t="shared" si="3"/>
        <v>110534024.4</v>
      </c>
      <c r="Q186" s="29">
        <f t="shared" si="4"/>
        <v>40897589.04</v>
      </c>
      <c r="R186" s="4">
        <v>0.075</v>
      </c>
      <c r="S186" s="29">
        <f t="shared" si="5"/>
        <v>80081900.71</v>
      </c>
      <c r="T186" s="29">
        <f t="shared" si="6"/>
        <v>127114128.1</v>
      </c>
      <c r="U186" s="29">
        <f t="shared" si="7"/>
        <v>47032227.4</v>
      </c>
    </row>
    <row r="187" ht="14.25" customHeight="1">
      <c r="A187" s="4">
        <v>185.0</v>
      </c>
      <c r="B187" s="2" t="s">
        <v>598</v>
      </c>
      <c r="C187" s="2" t="s">
        <v>591</v>
      </c>
      <c r="D187" s="3">
        <v>1.4E9</v>
      </c>
      <c r="E187" s="2" t="s">
        <v>100</v>
      </c>
      <c r="F187" s="4" t="str">
        <f>VLOOKUP(B187,Raw_Data_Collection!$B$2:$F$215,5,FALSE)</f>
        <v>N</v>
      </c>
      <c r="G187" s="3">
        <f>VLOOKUP(B187,Raw_Data_Collection!$B$2:$J$215,6,FALSE)</f>
        <v>2850000</v>
      </c>
      <c r="H187" s="5" t="s">
        <v>599</v>
      </c>
      <c r="I187" s="4">
        <v>2005.0</v>
      </c>
      <c r="J187" s="18">
        <f>VLOOKUP(B187,Raw_Data_Collection!$B$2:$J$215,9,FALSE)</f>
        <v>8904500</v>
      </c>
      <c r="K187" s="18">
        <f>VLOOKUP(B187,Real_Estate_Stats_Preferred!$A$2:$G$215,7,FALSE)</f>
        <v>8904500</v>
      </c>
      <c r="L187" s="18">
        <f t="shared" si="1"/>
        <v>1391095500</v>
      </c>
      <c r="M187" s="4">
        <v>0.37</v>
      </c>
      <c r="N187" s="4">
        <v>0.05</v>
      </c>
      <c r="O187" s="29">
        <f t="shared" si="2"/>
        <v>69554775</v>
      </c>
      <c r="P187" s="29">
        <f t="shared" si="3"/>
        <v>110404404.8</v>
      </c>
      <c r="Q187" s="29">
        <f t="shared" si="4"/>
        <v>40849629.76</v>
      </c>
      <c r="R187" s="4">
        <v>0.075</v>
      </c>
      <c r="S187" s="29">
        <f t="shared" si="5"/>
        <v>79987991.25</v>
      </c>
      <c r="T187" s="29">
        <f t="shared" si="6"/>
        <v>126965065.5</v>
      </c>
      <c r="U187" s="29">
        <f t="shared" si="7"/>
        <v>46977074.23</v>
      </c>
      <c r="V187" s="4"/>
      <c r="W187" s="4"/>
      <c r="X187" s="4" t="s">
        <v>733</v>
      </c>
    </row>
    <row r="188" ht="14.25" customHeight="1">
      <c r="A188" s="4">
        <v>186.0</v>
      </c>
      <c r="B188" s="2" t="s">
        <v>602</v>
      </c>
      <c r="C188" s="2" t="s">
        <v>591</v>
      </c>
      <c r="D188" s="3">
        <v>1.4E9</v>
      </c>
      <c r="E188" s="2" t="s">
        <v>47</v>
      </c>
      <c r="F188" s="4" t="str">
        <f>VLOOKUP(B188,Raw_Data_Collection!$B$2:$F$215,5,FALSE)</f>
        <v>N</v>
      </c>
      <c r="G188" s="3">
        <f>VLOOKUP(B188,Raw_Data_Collection!$B$2:$J$215,6,FALSE)</f>
        <v>29500000</v>
      </c>
      <c r="H188" s="5" t="s">
        <v>603</v>
      </c>
      <c r="I188" s="4">
        <v>2025.0</v>
      </c>
      <c r="J188" s="18">
        <f>VLOOKUP(B188,Raw_Data_Collection!$B$2:$J$215,9,FALSE)</f>
        <v>29500000</v>
      </c>
      <c r="K188" s="18">
        <f>VLOOKUP(B188,Real_Estate_Stats_Preferred!$A$2:$G$215,7,FALSE)</f>
        <v>29500000</v>
      </c>
      <c r="L188" s="18">
        <f t="shared" si="1"/>
        <v>1370500000</v>
      </c>
      <c r="M188" s="4">
        <v>0.37</v>
      </c>
      <c r="N188" s="4">
        <v>0.05</v>
      </c>
      <c r="O188" s="29">
        <f t="shared" si="2"/>
        <v>68525000</v>
      </c>
      <c r="P188" s="29">
        <f t="shared" si="3"/>
        <v>108769841.3</v>
      </c>
      <c r="Q188" s="29">
        <f t="shared" si="4"/>
        <v>40244841.27</v>
      </c>
      <c r="R188" s="4">
        <v>0.075</v>
      </c>
      <c r="S188" s="29">
        <f t="shared" si="5"/>
        <v>78803750</v>
      </c>
      <c r="T188" s="29">
        <f t="shared" si="6"/>
        <v>125085317.5</v>
      </c>
      <c r="U188" s="29">
        <f t="shared" si="7"/>
        <v>46281567.46</v>
      </c>
      <c r="V188" s="4"/>
      <c r="W188" s="4"/>
    </row>
    <row r="189" ht="14.25" customHeight="1">
      <c r="A189" s="4">
        <v>187.0</v>
      </c>
      <c r="B189" s="2" t="s">
        <v>606</v>
      </c>
      <c r="C189" s="2" t="s">
        <v>591</v>
      </c>
      <c r="D189" s="3">
        <v>1.4E9</v>
      </c>
      <c r="E189" s="2" t="s">
        <v>17</v>
      </c>
      <c r="F189" s="4" t="str">
        <f>VLOOKUP(B189,Raw_Data_Collection!$B$2:$F$215,5,FALSE)</f>
        <v>N</v>
      </c>
      <c r="G189" s="3" t="str">
        <f>VLOOKUP(B189,Raw_Data_Collection!$B$2:$J$215,6,FALSE)</f>
        <v/>
      </c>
      <c r="J189" s="2" t="str">
        <f>VLOOKUP(B189,Raw_Data_Collection!$B$2:$J$215,9,FALSE)</f>
        <v/>
      </c>
      <c r="K189" s="18">
        <f>VLOOKUP(B189,Real_Estate_Stats_Preferred!$A$2:$G$215,7,FALSE)</f>
        <v>8904500</v>
      </c>
      <c r="L189" s="18">
        <f t="shared" si="1"/>
        <v>1391095500</v>
      </c>
      <c r="M189" s="4">
        <v>0.37</v>
      </c>
      <c r="N189" s="4">
        <v>0.05</v>
      </c>
      <c r="O189" s="29">
        <f t="shared" si="2"/>
        <v>69554775</v>
      </c>
      <c r="P189" s="29">
        <f t="shared" si="3"/>
        <v>110404404.8</v>
      </c>
      <c r="Q189" s="29">
        <f t="shared" si="4"/>
        <v>40849629.76</v>
      </c>
      <c r="R189" s="4">
        <v>0.075</v>
      </c>
      <c r="S189" s="29">
        <f t="shared" si="5"/>
        <v>79987991.25</v>
      </c>
      <c r="T189" s="29">
        <f t="shared" si="6"/>
        <v>126965065.5</v>
      </c>
      <c r="U189" s="29">
        <f t="shared" si="7"/>
        <v>46977074.23</v>
      </c>
    </row>
    <row r="190" ht="14.25" customHeight="1">
      <c r="A190" s="4">
        <v>188.0</v>
      </c>
      <c r="B190" s="4" t="s">
        <v>607</v>
      </c>
      <c r="C190" s="2" t="s">
        <v>591</v>
      </c>
      <c r="D190" s="3">
        <v>1.4E9</v>
      </c>
      <c r="E190" s="2" t="s">
        <v>90</v>
      </c>
      <c r="F190" s="4" t="str">
        <f>VLOOKUP(B190,Raw_Data_Collection!$B$2:$F$215,5,FALSE)</f>
        <v>N</v>
      </c>
      <c r="G190" s="3" t="str">
        <f>VLOOKUP(B190,Raw_Data_Collection!$B$2:$J$215,6,FALSE)</f>
        <v/>
      </c>
      <c r="J190" s="2" t="str">
        <f>VLOOKUP(B190,Raw_Data_Collection!$B$2:$J$215,9,FALSE)</f>
        <v/>
      </c>
      <c r="K190" s="18">
        <f>VLOOKUP(B190,Real_Estate_Stats_Preferred!$A$2:$G$215,7,FALSE)</f>
        <v>8904500</v>
      </c>
      <c r="L190" s="18">
        <f t="shared" si="1"/>
        <v>1391095500</v>
      </c>
      <c r="M190" s="4">
        <v>0.37</v>
      </c>
      <c r="N190" s="4">
        <v>0.05</v>
      </c>
      <c r="O190" s="29">
        <f t="shared" si="2"/>
        <v>69554775</v>
      </c>
      <c r="P190" s="29">
        <f t="shared" si="3"/>
        <v>110404404.8</v>
      </c>
      <c r="Q190" s="29">
        <f t="shared" si="4"/>
        <v>40849629.76</v>
      </c>
      <c r="R190" s="4">
        <v>0.075</v>
      </c>
      <c r="S190" s="29">
        <f t="shared" si="5"/>
        <v>79987991.25</v>
      </c>
      <c r="T190" s="29">
        <f t="shared" si="6"/>
        <v>126965065.5</v>
      </c>
      <c r="U190" s="29">
        <f t="shared" si="7"/>
        <v>46977074.23</v>
      </c>
    </row>
    <row r="191" ht="14.25" customHeight="1">
      <c r="A191" s="4">
        <v>189.0</v>
      </c>
      <c r="B191" s="2" t="s">
        <v>609</v>
      </c>
      <c r="C191" s="2" t="s">
        <v>610</v>
      </c>
      <c r="D191" s="3">
        <v>1.3E9</v>
      </c>
      <c r="E191" s="2" t="s">
        <v>611</v>
      </c>
      <c r="F191" s="4" t="str">
        <f>VLOOKUP(B191,Raw_Data_Collection!$B$2:$F$215,5,FALSE)</f>
        <v>N</v>
      </c>
      <c r="G191" s="3">
        <f>VLOOKUP(B191,Raw_Data_Collection!$B$2:$J$215,6,FALSE)</f>
        <v>2648000</v>
      </c>
      <c r="H191" s="5" t="s">
        <v>612</v>
      </c>
      <c r="I191" s="4">
        <v>2026.0</v>
      </c>
      <c r="J191" s="2" t="str">
        <f>VLOOKUP(B191,Raw_Data_Collection!$B$2:$J$215,9,FALSE)</f>
        <v/>
      </c>
      <c r="K191" s="18">
        <f>VLOOKUP(B191,Real_Estate_Stats_Preferred!$A$2:$G$215,7,FALSE)</f>
        <v>2648000</v>
      </c>
      <c r="L191" s="18">
        <f t="shared" si="1"/>
        <v>1297352000</v>
      </c>
      <c r="M191" s="4">
        <v>0.37</v>
      </c>
      <c r="N191" s="4">
        <v>0.05</v>
      </c>
      <c r="O191" s="29">
        <f t="shared" si="2"/>
        <v>64867600</v>
      </c>
      <c r="P191" s="29">
        <f t="shared" si="3"/>
        <v>102964444.4</v>
      </c>
      <c r="Q191" s="29">
        <f t="shared" si="4"/>
        <v>38096844.44</v>
      </c>
      <c r="R191" s="4">
        <v>0.075</v>
      </c>
      <c r="S191" s="29">
        <f t="shared" si="5"/>
        <v>74597740</v>
      </c>
      <c r="T191" s="29">
        <f t="shared" si="6"/>
        <v>118409111.1</v>
      </c>
      <c r="U191" s="29">
        <f t="shared" si="7"/>
        <v>43811371.11</v>
      </c>
      <c r="V191" s="4"/>
      <c r="W191" s="4"/>
      <c r="X191" s="6" t="s">
        <v>808</v>
      </c>
    </row>
    <row r="192" ht="14.25" customHeight="1">
      <c r="A192" s="4">
        <v>190.0</v>
      </c>
      <c r="B192" s="2" t="s">
        <v>614</v>
      </c>
      <c r="C192" s="2" t="s">
        <v>610</v>
      </c>
      <c r="D192" s="3">
        <v>1.3E9</v>
      </c>
      <c r="E192" s="2" t="s">
        <v>268</v>
      </c>
      <c r="F192" s="4" t="str">
        <f>VLOOKUP(B192,Raw_Data_Collection!$B$2:$F$215,5,FALSE)</f>
        <v>N</v>
      </c>
      <c r="G192" s="3" t="str">
        <f>VLOOKUP(B192,Raw_Data_Collection!$B$2:$J$215,6,FALSE)</f>
        <v/>
      </c>
      <c r="J192" s="18">
        <f>VLOOKUP(B192,Raw_Data_Collection!$B$2:$J$215,9,FALSE)</f>
        <v>8089000</v>
      </c>
      <c r="K192" s="18">
        <f>VLOOKUP(B192,Real_Estate_Stats_Preferred!$A$2:$G$215,7,FALSE)</f>
        <v>8089000</v>
      </c>
      <c r="L192" s="18">
        <f t="shared" si="1"/>
        <v>1291911000</v>
      </c>
      <c r="M192" s="4">
        <v>0.37</v>
      </c>
      <c r="N192" s="4">
        <v>0.05</v>
      </c>
      <c r="O192" s="29">
        <f t="shared" si="2"/>
        <v>64595550</v>
      </c>
      <c r="P192" s="29">
        <f t="shared" si="3"/>
        <v>102532619</v>
      </c>
      <c r="Q192" s="29">
        <f t="shared" si="4"/>
        <v>37937069.05</v>
      </c>
      <c r="R192" s="4">
        <v>0.075</v>
      </c>
      <c r="S192" s="29">
        <f t="shared" si="5"/>
        <v>74284882.5</v>
      </c>
      <c r="T192" s="29">
        <f t="shared" si="6"/>
        <v>117912511.9</v>
      </c>
      <c r="U192" s="29">
        <f t="shared" si="7"/>
        <v>43627629.4</v>
      </c>
    </row>
    <row r="193" ht="14.25" customHeight="1">
      <c r="A193" s="4">
        <v>191.0</v>
      </c>
      <c r="B193" s="2" t="s">
        <v>617</v>
      </c>
      <c r="C193" s="2" t="s">
        <v>610</v>
      </c>
      <c r="D193" s="3">
        <v>1.3E9</v>
      </c>
      <c r="E193" s="2" t="s">
        <v>268</v>
      </c>
      <c r="F193" s="4" t="str">
        <f>VLOOKUP(B193,Raw_Data_Collection!$B$2:$F$215,5,FALSE)</f>
        <v>N</v>
      </c>
      <c r="G193" s="3">
        <f>VLOOKUP(B193,Raw_Data_Collection!$B$2:$J$215,6,FALSE)</f>
        <v>3006000</v>
      </c>
      <c r="H193" s="5" t="s">
        <v>618</v>
      </c>
      <c r="I193" s="4">
        <v>2026.0</v>
      </c>
      <c r="J193" s="18">
        <f>VLOOKUP(B193,Raw_Data_Collection!$B$2:$J$215,9,FALSE)</f>
        <v>14634965</v>
      </c>
      <c r="K193" s="18">
        <f>VLOOKUP(B193,Real_Estate_Stats_Preferred!$A$2:$G$215,7,FALSE)</f>
        <v>14634965</v>
      </c>
      <c r="L193" s="18">
        <f t="shared" si="1"/>
        <v>1285365035</v>
      </c>
      <c r="M193" s="4">
        <v>0.37</v>
      </c>
      <c r="N193" s="4">
        <v>0.05</v>
      </c>
      <c r="O193" s="29">
        <f t="shared" si="2"/>
        <v>64268251.75</v>
      </c>
      <c r="P193" s="29">
        <f t="shared" si="3"/>
        <v>102013098</v>
      </c>
      <c r="Q193" s="29">
        <f t="shared" si="4"/>
        <v>37744846.27</v>
      </c>
      <c r="R193" s="4">
        <v>0.075</v>
      </c>
      <c r="S193" s="29">
        <f t="shared" si="5"/>
        <v>73908489.51</v>
      </c>
      <c r="T193" s="29">
        <f t="shared" si="6"/>
        <v>117315062.7</v>
      </c>
      <c r="U193" s="29">
        <f t="shared" si="7"/>
        <v>43406573.21</v>
      </c>
      <c r="V193" s="4"/>
      <c r="W193" s="4"/>
      <c r="X193" s="10" t="s">
        <v>809</v>
      </c>
    </row>
    <row r="194" ht="14.25" customHeight="1">
      <c r="A194" s="4">
        <v>192.0</v>
      </c>
      <c r="B194" s="2" t="s">
        <v>621</v>
      </c>
      <c r="C194" s="2" t="s">
        <v>610</v>
      </c>
      <c r="D194" s="3">
        <v>1.3E9</v>
      </c>
      <c r="E194" s="2" t="s">
        <v>238</v>
      </c>
      <c r="F194" s="4" t="str">
        <f>VLOOKUP(B194,Raw_Data_Collection!$B$2:$F$215,5,FALSE)</f>
        <v>N</v>
      </c>
      <c r="G194" s="3" t="str">
        <f>VLOOKUP(B194,Raw_Data_Collection!$B$2:$J$215,6,FALSE)</f>
        <v/>
      </c>
      <c r="J194" s="18">
        <f>VLOOKUP(B194,Raw_Data_Collection!$B$2:$J$215,9,FALSE)</f>
        <v>13000000</v>
      </c>
      <c r="K194" s="18">
        <f>VLOOKUP(B194,Real_Estate_Stats_Preferred!$A$2:$G$215,7,FALSE)</f>
        <v>13000000</v>
      </c>
      <c r="L194" s="18">
        <f t="shared" si="1"/>
        <v>1287000000</v>
      </c>
      <c r="M194" s="4">
        <v>0.37</v>
      </c>
      <c r="N194" s="4">
        <v>0.05</v>
      </c>
      <c r="O194" s="29">
        <f t="shared" si="2"/>
        <v>64350000</v>
      </c>
      <c r="P194" s="29">
        <f t="shared" si="3"/>
        <v>102142857.1</v>
      </c>
      <c r="Q194" s="29">
        <f t="shared" si="4"/>
        <v>37792857.14</v>
      </c>
      <c r="R194" s="4">
        <v>0.075</v>
      </c>
      <c r="S194" s="29">
        <f t="shared" si="5"/>
        <v>74002500</v>
      </c>
      <c r="T194" s="29">
        <f t="shared" si="6"/>
        <v>117464285.7</v>
      </c>
      <c r="U194" s="29">
        <f t="shared" si="7"/>
        <v>43461785.71</v>
      </c>
    </row>
    <row r="195" ht="14.25" customHeight="1">
      <c r="A195" s="4">
        <v>193.0</v>
      </c>
      <c r="B195" s="2" t="s">
        <v>623</v>
      </c>
      <c r="C195" s="2" t="s">
        <v>610</v>
      </c>
      <c r="D195" s="3">
        <v>1.3E9</v>
      </c>
      <c r="E195" s="2" t="s">
        <v>17</v>
      </c>
      <c r="F195" s="4" t="str">
        <f>VLOOKUP(B195,Raw_Data_Collection!$B$2:$F$215,5,FALSE)</f>
        <v>N</v>
      </c>
      <c r="G195" s="3">
        <f>VLOOKUP(B195,Raw_Data_Collection!$B$2:$J$215,6,FALSE)</f>
        <v>35000000</v>
      </c>
      <c r="H195" s="5" t="s">
        <v>624</v>
      </c>
      <c r="I195" s="4">
        <v>2013.0</v>
      </c>
      <c r="J195" s="2" t="str">
        <f>VLOOKUP(B195,Raw_Data_Collection!$B$2:$J$215,9,FALSE)</f>
        <v/>
      </c>
      <c r="K195" s="18">
        <f>VLOOKUP(B195,Real_Estate_Stats_Preferred!$A$2:$G$215,7,FALSE)</f>
        <v>35000000</v>
      </c>
      <c r="L195" s="18">
        <f t="shared" si="1"/>
        <v>1265000000</v>
      </c>
      <c r="M195" s="4">
        <v>0.37</v>
      </c>
      <c r="N195" s="4">
        <v>0.05</v>
      </c>
      <c r="O195" s="29">
        <f t="shared" si="2"/>
        <v>63250000</v>
      </c>
      <c r="P195" s="29">
        <f t="shared" si="3"/>
        <v>100396825.4</v>
      </c>
      <c r="Q195" s="29">
        <f t="shared" si="4"/>
        <v>37146825.4</v>
      </c>
      <c r="R195" s="4">
        <v>0.075</v>
      </c>
      <c r="S195" s="29">
        <f t="shared" si="5"/>
        <v>72737500</v>
      </c>
      <c r="T195" s="29">
        <f t="shared" si="6"/>
        <v>115456349.2</v>
      </c>
      <c r="U195" s="29">
        <f t="shared" si="7"/>
        <v>42718849.21</v>
      </c>
      <c r="V195" s="4"/>
      <c r="W195" s="4"/>
    </row>
    <row r="196" ht="14.25" customHeight="1">
      <c r="A196" s="4">
        <v>194.0</v>
      </c>
      <c r="B196" s="2" t="s">
        <v>625</v>
      </c>
      <c r="C196" s="2" t="s">
        <v>610</v>
      </c>
      <c r="D196" s="3">
        <v>1.3E9</v>
      </c>
      <c r="E196" s="2" t="s">
        <v>626</v>
      </c>
      <c r="F196" s="4" t="str">
        <f>VLOOKUP(B196,Raw_Data_Collection!$B$2:$F$215,5,FALSE)</f>
        <v>N</v>
      </c>
      <c r="G196" s="3">
        <f>VLOOKUP(B196,Raw_Data_Collection!$B$2:$J$215,6,FALSE)</f>
        <v>16047864</v>
      </c>
      <c r="J196" s="18">
        <f>VLOOKUP(B196,Raw_Data_Collection!$B$2:$J$215,9,FALSE)</f>
        <v>16047864</v>
      </c>
      <c r="K196" s="18">
        <f>VLOOKUP(B196,Real_Estate_Stats_Preferred!$A$2:$G$215,7,FALSE)</f>
        <v>8268464.286</v>
      </c>
      <c r="L196" s="18">
        <f t="shared" si="1"/>
        <v>1291731536</v>
      </c>
      <c r="M196" s="4">
        <v>0.37</v>
      </c>
      <c r="N196" s="4">
        <v>0.05</v>
      </c>
      <c r="O196" s="29">
        <f t="shared" si="2"/>
        <v>64586576.79</v>
      </c>
      <c r="P196" s="29">
        <f t="shared" si="3"/>
        <v>102518375.9</v>
      </c>
      <c r="Q196" s="29">
        <f t="shared" si="4"/>
        <v>37931799.06</v>
      </c>
      <c r="R196" s="4">
        <v>0.075</v>
      </c>
      <c r="S196" s="29">
        <f t="shared" si="5"/>
        <v>74274563.3</v>
      </c>
      <c r="T196" s="29">
        <f t="shared" si="6"/>
        <v>117896132.2</v>
      </c>
      <c r="U196" s="29">
        <f t="shared" si="7"/>
        <v>43621568.92</v>
      </c>
    </row>
    <row r="197" ht="14.25" customHeight="1">
      <c r="A197" s="4">
        <v>195.0</v>
      </c>
      <c r="B197" s="2" t="s">
        <v>629</v>
      </c>
      <c r="C197" s="2" t="s">
        <v>610</v>
      </c>
      <c r="D197" s="3">
        <v>1.3E9</v>
      </c>
      <c r="E197" s="2" t="s">
        <v>263</v>
      </c>
      <c r="F197" s="4" t="str">
        <f>VLOOKUP(B197,Raw_Data_Collection!$B$2:$F$215,5,FALSE)</f>
        <v>N</v>
      </c>
      <c r="G197" s="3" t="str">
        <f>VLOOKUP(B197,Raw_Data_Collection!$B$2:$J$215,6,FALSE)</f>
        <v/>
      </c>
      <c r="J197" s="2" t="str">
        <f>VLOOKUP(B197,Raw_Data_Collection!$B$2:$J$215,9,FALSE)</f>
        <v/>
      </c>
      <c r="K197" s="18">
        <f>VLOOKUP(B197,Real_Estate_Stats_Preferred!$A$2:$G$215,7,FALSE)</f>
        <v>8268464.286</v>
      </c>
      <c r="L197" s="18">
        <f t="shared" si="1"/>
        <v>1291731536</v>
      </c>
      <c r="M197" s="4">
        <v>0.37</v>
      </c>
      <c r="N197" s="4">
        <v>0.05</v>
      </c>
      <c r="O197" s="29">
        <f t="shared" si="2"/>
        <v>64586576.79</v>
      </c>
      <c r="P197" s="29">
        <f t="shared" si="3"/>
        <v>102518375.9</v>
      </c>
      <c r="Q197" s="29">
        <f t="shared" si="4"/>
        <v>37931799.06</v>
      </c>
      <c r="R197" s="4">
        <v>0.075</v>
      </c>
      <c r="S197" s="29">
        <f t="shared" si="5"/>
        <v>74274563.3</v>
      </c>
      <c r="T197" s="29">
        <f t="shared" si="6"/>
        <v>117896132.2</v>
      </c>
      <c r="U197" s="29">
        <f t="shared" si="7"/>
        <v>43621568.92</v>
      </c>
    </row>
    <row r="198" ht="14.25" customHeight="1">
      <c r="A198" s="4">
        <v>196.0</v>
      </c>
      <c r="B198" s="2" t="s">
        <v>630</v>
      </c>
      <c r="C198" s="2" t="s">
        <v>610</v>
      </c>
      <c r="D198" s="3">
        <v>1.3E9</v>
      </c>
      <c r="E198" s="2" t="s">
        <v>17</v>
      </c>
      <c r="F198" s="4" t="str">
        <f>VLOOKUP(B198,Raw_Data_Collection!$B$2:$F$215,5,FALSE)</f>
        <v>N</v>
      </c>
      <c r="G198" s="3" t="str">
        <f>VLOOKUP(B198,Raw_Data_Collection!$B$2:$J$215,6,FALSE)</f>
        <v/>
      </c>
      <c r="J198" s="18">
        <f>VLOOKUP(B198,Raw_Data_Collection!$B$2:$J$215,9,FALSE)</f>
        <v>6797000</v>
      </c>
      <c r="K198" s="18">
        <f>VLOOKUP(B198,Real_Estate_Stats_Preferred!$A$2:$G$215,7,FALSE)</f>
        <v>6797000</v>
      </c>
      <c r="L198" s="18">
        <f t="shared" si="1"/>
        <v>1293203000</v>
      </c>
      <c r="M198" s="4">
        <v>0.37</v>
      </c>
      <c r="N198" s="4">
        <v>0.05</v>
      </c>
      <c r="O198" s="29">
        <f t="shared" si="2"/>
        <v>64660150</v>
      </c>
      <c r="P198" s="29">
        <f t="shared" si="3"/>
        <v>102635158.7</v>
      </c>
      <c r="Q198" s="29">
        <f t="shared" si="4"/>
        <v>37975008.73</v>
      </c>
      <c r="R198" s="4">
        <v>0.075</v>
      </c>
      <c r="S198" s="29">
        <f t="shared" si="5"/>
        <v>74359172.5</v>
      </c>
      <c r="T198" s="29">
        <f t="shared" si="6"/>
        <v>118030432.5</v>
      </c>
      <c r="U198" s="29">
        <f t="shared" si="7"/>
        <v>43671260.04</v>
      </c>
    </row>
    <row r="199" ht="14.25" customHeight="1">
      <c r="A199" s="4">
        <v>197.0</v>
      </c>
      <c r="B199" s="2" t="s">
        <v>633</v>
      </c>
      <c r="C199" s="2" t="s">
        <v>610</v>
      </c>
      <c r="D199" s="3">
        <v>1.3E9</v>
      </c>
      <c r="E199" s="2" t="s">
        <v>47</v>
      </c>
      <c r="F199" s="4" t="str">
        <f>VLOOKUP(B199,Raw_Data_Collection!$B$2:$F$215,5,FALSE)</f>
        <v>N</v>
      </c>
      <c r="G199" s="3">
        <f>VLOOKUP(B199,Raw_Data_Collection!$B$2:$J$215,6,FALSE)</f>
        <v>37000000</v>
      </c>
      <c r="H199" s="5" t="s">
        <v>634</v>
      </c>
      <c r="I199" s="4">
        <v>2025.0</v>
      </c>
      <c r="J199" s="18">
        <f>VLOOKUP(B199,Raw_Data_Collection!$B$2:$J$215,9,FALSE)</f>
        <v>70000000</v>
      </c>
      <c r="K199" s="18">
        <f>VLOOKUP(B199,Real_Estate_Stats_Preferred!$A$2:$G$215,7,FALSE)</f>
        <v>70000000</v>
      </c>
      <c r="L199" s="18">
        <f t="shared" si="1"/>
        <v>1230000000</v>
      </c>
      <c r="M199" s="4">
        <v>0.37</v>
      </c>
      <c r="N199" s="4">
        <v>0.05</v>
      </c>
      <c r="O199" s="29">
        <f t="shared" si="2"/>
        <v>61500000</v>
      </c>
      <c r="P199" s="29">
        <f t="shared" si="3"/>
        <v>97619047.62</v>
      </c>
      <c r="Q199" s="29">
        <f t="shared" si="4"/>
        <v>36119047.62</v>
      </c>
      <c r="R199" s="4">
        <v>0.075</v>
      </c>
      <c r="S199" s="29">
        <f t="shared" si="5"/>
        <v>70725000</v>
      </c>
      <c r="T199" s="29">
        <f t="shared" si="6"/>
        <v>112261904.8</v>
      </c>
      <c r="U199" s="29">
        <f t="shared" si="7"/>
        <v>41536904.76</v>
      </c>
      <c r="V199" s="4"/>
      <c r="W199" s="4"/>
    </row>
    <row r="200" ht="14.25" customHeight="1">
      <c r="A200" s="4">
        <v>198.0</v>
      </c>
      <c r="B200" s="2" t="s">
        <v>636</v>
      </c>
      <c r="C200" s="2" t="s">
        <v>610</v>
      </c>
      <c r="D200" s="3">
        <v>1.3E9</v>
      </c>
      <c r="E200" s="2" t="s">
        <v>100</v>
      </c>
      <c r="F200" s="4" t="str">
        <f>VLOOKUP(B200,Raw_Data_Collection!$B$2:$F$215,5,FALSE)</f>
        <v>N</v>
      </c>
      <c r="G200" s="3" t="str">
        <f>VLOOKUP(B200,Raw_Data_Collection!$B$2:$J$215,6,FALSE)</f>
        <v/>
      </c>
      <c r="J200" s="2" t="str">
        <f>VLOOKUP(B200,Raw_Data_Collection!$B$2:$J$215,9,FALSE)</f>
        <v/>
      </c>
      <c r="K200" s="18">
        <f>VLOOKUP(B200,Real_Estate_Stats_Preferred!$A$2:$G$215,7,FALSE)</f>
        <v>8268464.286</v>
      </c>
      <c r="L200" s="18">
        <f t="shared" si="1"/>
        <v>1291731536</v>
      </c>
      <c r="M200" s="4">
        <v>0.37</v>
      </c>
      <c r="N200" s="4">
        <v>0.05</v>
      </c>
      <c r="O200" s="29">
        <f t="shared" si="2"/>
        <v>64586576.79</v>
      </c>
      <c r="P200" s="29">
        <f t="shared" si="3"/>
        <v>102518375.9</v>
      </c>
      <c r="Q200" s="29">
        <f t="shared" si="4"/>
        <v>37931799.06</v>
      </c>
      <c r="R200" s="4">
        <v>0.075</v>
      </c>
      <c r="S200" s="29">
        <f t="shared" si="5"/>
        <v>74274563.3</v>
      </c>
      <c r="T200" s="29">
        <f t="shared" si="6"/>
        <v>117896132.2</v>
      </c>
      <c r="U200" s="29">
        <f t="shared" si="7"/>
        <v>43621568.92</v>
      </c>
    </row>
    <row r="201" ht="14.25" customHeight="1">
      <c r="A201" s="4">
        <v>199.0</v>
      </c>
      <c r="B201" s="2" t="s">
        <v>637</v>
      </c>
      <c r="C201" s="2" t="s">
        <v>610</v>
      </c>
      <c r="D201" s="3">
        <v>1.3E9</v>
      </c>
      <c r="E201" s="2" t="s">
        <v>100</v>
      </c>
      <c r="F201" s="4" t="str">
        <f>VLOOKUP(B201,Raw_Data_Collection!$B$2:$F$215,5,FALSE)</f>
        <v>N</v>
      </c>
      <c r="G201" s="3" t="str">
        <f>VLOOKUP(B201,Raw_Data_Collection!$B$2:$J$215,6,FALSE)</f>
        <v/>
      </c>
      <c r="J201" s="2" t="str">
        <f>VLOOKUP(B201,Raw_Data_Collection!$B$2:$J$215,9,FALSE)</f>
        <v/>
      </c>
      <c r="K201" s="18">
        <f>VLOOKUP(B201,Real_Estate_Stats_Preferred!$A$2:$G$215,7,FALSE)</f>
        <v>8268464.286</v>
      </c>
      <c r="L201" s="18">
        <f t="shared" si="1"/>
        <v>1291731536</v>
      </c>
      <c r="M201" s="4">
        <v>0.37</v>
      </c>
      <c r="N201" s="4">
        <v>0.05</v>
      </c>
      <c r="O201" s="29">
        <f t="shared" si="2"/>
        <v>64586576.79</v>
      </c>
      <c r="P201" s="29">
        <f t="shared" si="3"/>
        <v>102518375.9</v>
      </c>
      <c r="Q201" s="29">
        <f t="shared" si="4"/>
        <v>37931799.06</v>
      </c>
      <c r="R201" s="4">
        <v>0.075</v>
      </c>
      <c r="S201" s="29">
        <f t="shared" si="5"/>
        <v>74274563.3</v>
      </c>
      <c r="T201" s="29">
        <f t="shared" si="6"/>
        <v>117896132.2</v>
      </c>
      <c r="U201" s="29">
        <f t="shared" si="7"/>
        <v>43621568.92</v>
      </c>
    </row>
    <row r="202" ht="14.25" customHeight="1">
      <c r="A202" s="4">
        <v>200.0</v>
      </c>
      <c r="B202" s="2" t="s">
        <v>638</v>
      </c>
      <c r="C202" s="2" t="s">
        <v>639</v>
      </c>
      <c r="D202" s="3">
        <v>1.2E9</v>
      </c>
      <c r="E202" s="2" t="s">
        <v>100</v>
      </c>
      <c r="F202" s="4" t="str">
        <f>VLOOKUP(B202,Raw_Data_Collection!$B$2:$F$215,5,FALSE)</f>
        <v>N</v>
      </c>
      <c r="G202" s="3" t="str">
        <f>VLOOKUP(B202,Raw_Data_Collection!$B$2:$J$215,6,FALSE)</f>
        <v/>
      </c>
      <c r="J202" s="2" t="str">
        <f>VLOOKUP(B202,Raw_Data_Collection!$B$2:$J$215,9,FALSE)</f>
        <v/>
      </c>
      <c r="K202" s="18">
        <f>VLOOKUP(B202,Real_Estate_Stats_Preferred!$A$2:$G$215,7,FALSE)</f>
        <v>7632428.571</v>
      </c>
      <c r="L202" s="18">
        <f t="shared" si="1"/>
        <v>1192367571</v>
      </c>
      <c r="M202" s="4">
        <v>0.37</v>
      </c>
      <c r="N202" s="4">
        <v>0.05</v>
      </c>
      <c r="O202" s="29">
        <f t="shared" si="2"/>
        <v>59618378.57</v>
      </c>
      <c r="P202" s="29">
        <f t="shared" si="3"/>
        <v>94632346.94</v>
      </c>
      <c r="Q202" s="29">
        <f t="shared" si="4"/>
        <v>35013968.37</v>
      </c>
      <c r="R202" s="4">
        <v>0.075</v>
      </c>
      <c r="S202" s="29">
        <f t="shared" si="5"/>
        <v>68561135.36</v>
      </c>
      <c r="T202" s="29">
        <f t="shared" si="6"/>
        <v>108827199</v>
      </c>
      <c r="U202" s="29">
        <f t="shared" si="7"/>
        <v>40266063.62</v>
      </c>
    </row>
    <row r="203" ht="14.25" customHeight="1">
      <c r="A203" s="4">
        <v>201.0</v>
      </c>
      <c r="B203" s="2" t="s">
        <v>640</v>
      </c>
      <c r="C203" s="2" t="s">
        <v>639</v>
      </c>
      <c r="D203" s="3">
        <v>1.2E9</v>
      </c>
      <c r="E203" s="2" t="s">
        <v>100</v>
      </c>
      <c r="F203" s="4" t="str">
        <f>VLOOKUP(B203,Raw_Data_Collection!$B$2:$F$215,5,FALSE)</f>
        <v>N</v>
      </c>
      <c r="G203" s="3" t="str">
        <f>VLOOKUP(B203,Raw_Data_Collection!$B$2:$J$215,6,FALSE)</f>
        <v/>
      </c>
      <c r="J203" s="2" t="str">
        <f>VLOOKUP(B203,Raw_Data_Collection!$B$2:$J$215,9,FALSE)</f>
        <v/>
      </c>
      <c r="K203" s="18">
        <f>VLOOKUP(B203,Real_Estate_Stats_Preferred!$A$2:$G$215,7,FALSE)</f>
        <v>7632428.571</v>
      </c>
      <c r="L203" s="18">
        <f t="shared" si="1"/>
        <v>1192367571</v>
      </c>
      <c r="M203" s="4">
        <v>0.37</v>
      </c>
      <c r="N203" s="4">
        <v>0.05</v>
      </c>
      <c r="O203" s="29">
        <f t="shared" si="2"/>
        <v>59618378.57</v>
      </c>
      <c r="P203" s="29">
        <f t="shared" si="3"/>
        <v>94632346.94</v>
      </c>
      <c r="Q203" s="29">
        <f t="shared" si="4"/>
        <v>35013968.37</v>
      </c>
      <c r="R203" s="4">
        <v>0.075</v>
      </c>
      <c r="S203" s="29">
        <f t="shared" si="5"/>
        <v>68561135.36</v>
      </c>
      <c r="T203" s="29">
        <f t="shared" si="6"/>
        <v>108827199</v>
      </c>
      <c r="U203" s="29">
        <f t="shared" si="7"/>
        <v>40266063.62</v>
      </c>
    </row>
    <row r="204" ht="14.25" customHeight="1">
      <c r="A204" s="4">
        <v>202.0</v>
      </c>
      <c r="B204" s="2" t="s">
        <v>641</v>
      </c>
      <c r="C204" s="2" t="s">
        <v>639</v>
      </c>
      <c r="D204" s="3">
        <v>1.2E9</v>
      </c>
      <c r="E204" s="2" t="s">
        <v>47</v>
      </c>
      <c r="F204" s="4" t="str">
        <f>VLOOKUP(B204,Raw_Data_Collection!$B$2:$F$215,5,FALSE)</f>
        <v>N</v>
      </c>
      <c r="G204" s="3">
        <f>VLOOKUP(B204,Raw_Data_Collection!$B$2:$J$215,6,FALSE)</f>
        <v>5413302</v>
      </c>
      <c r="J204" s="18">
        <f>VLOOKUP(B204,Raw_Data_Collection!$B$2:$J$215,9,FALSE)</f>
        <v>21637069</v>
      </c>
      <c r="K204" s="18">
        <f>VLOOKUP(B204,Real_Estate_Stats_Preferred!$A$2:$G$215,7,FALSE)</f>
        <v>5413302</v>
      </c>
      <c r="L204" s="18">
        <f t="shared" si="1"/>
        <v>1194586698</v>
      </c>
      <c r="M204" s="4">
        <v>0.37</v>
      </c>
      <c r="N204" s="4">
        <v>0.05</v>
      </c>
      <c r="O204" s="29">
        <f t="shared" si="2"/>
        <v>59729334.9</v>
      </c>
      <c r="P204" s="29">
        <f t="shared" si="3"/>
        <v>94808468.1</v>
      </c>
      <c r="Q204" s="29">
        <f t="shared" si="4"/>
        <v>35079133.2</v>
      </c>
      <c r="R204" s="4">
        <v>0.075</v>
      </c>
      <c r="S204" s="29">
        <f t="shared" si="5"/>
        <v>68688735.14</v>
      </c>
      <c r="T204" s="29">
        <f t="shared" si="6"/>
        <v>109029738.3</v>
      </c>
      <c r="U204" s="29">
        <f t="shared" si="7"/>
        <v>40341003.17</v>
      </c>
    </row>
    <row r="205" ht="14.25" customHeight="1">
      <c r="A205" s="4">
        <v>203.0</v>
      </c>
      <c r="B205" s="2" t="s">
        <v>645</v>
      </c>
      <c r="C205" s="2" t="s">
        <v>639</v>
      </c>
      <c r="D205" s="3">
        <v>1.2E9</v>
      </c>
      <c r="E205" s="2" t="s">
        <v>191</v>
      </c>
      <c r="F205" s="4" t="str">
        <f>VLOOKUP(B205,Raw_Data_Collection!$B$2:$F$215,5,FALSE)</f>
        <v>N</v>
      </c>
      <c r="G205" s="3" t="str">
        <f>VLOOKUP(B205,Raw_Data_Collection!$B$2:$J$215,6,FALSE)</f>
        <v/>
      </c>
      <c r="J205" s="18">
        <f>VLOOKUP(B205,Raw_Data_Collection!$B$2:$J$215,9,FALSE)</f>
        <v>43371212</v>
      </c>
      <c r="K205" s="18">
        <f>VLOOKUP(B205,Real_Estate_Stats_Preferred!$A$2:$G$215,7,FALSE)</f>
        <v>27995000</v>
      </c>
      <c r="L205" s="18">
        <f t="shared" si="1"/>
        <v>1172005000</v>
      </c>
      <c r="M205" s="4">
        <v>0.37</v>
      </c>
      <c r="N205" s="4">
        <v>0.05</v>
      </c>
      <c r="O205" s="29">
        <f t="shared" si="2"/>
        <v>58600250</v>
      </c>
      <c r="P205" s="29">
        <f t="shared" si="3"/>
        <v>93016269.84</v>
      </c>
      <c r="Q205" s="29">
        <f t="shared" si="4"/>
        <v>34416019.84</v>
      </c>
      <c r="R205" s="4">
        <v>0.075</v>
      </c>
      <c r="S205" s="29">
        <f t="shared" si="5"/>
        <v>67390287.5</v>
      </c>
      <c r="T205" s="29">
        <f t="shared" si="6"/>
        <v>106968710.3</v>
      </c>
      <c r="U205" s="29">
        <f t="shared" si="7"/>
        <v>39578422.82</v>
      </c>
      <c r="V205" s="4">
        <v>2020.0</v>
      </c>
      <c r="W205" s="5" t="s">
        <v>736</v>
      </c>
    </row>
    <row r="206" ht="14.25" customHeight="1">
      <c r="A206" s="4">
        <v>204.0</v>
      </c>
      <c r="B206" s="4" t="s">
        <v>648</v>
      </c>
      <c r="C206" s="2" t="s">
        <v>649</v>
      </c>
      <c r="D206" s="3">
        <v>1.1E9</v>
      </c>
      <c r="E206" s="2" t="s">
        <v>47</v>
      </c>
      <c r="F206" s="4" t="str">
        <f>VLOOKUP(B206,Raw_Data_Collection!$B$2:$F$215,5,FALSE)</f>
        <v>N</v>
      </c>
      <c r="G206" s="3">
        <f>VLOOKUP(B206,Raw_Data_Collection!$B$2:$J$215,6,FALSE)</f>
        <v>5299000</v>
      </c>
      <c r="J206" s="30">
        <f>VLOOKUP(B206,Raw_Data_Collection!$B$2:$J$215,9,FALSE)</f>
        <v>10887000</v>
      </c>
      <c r="K206" s="18">
        <f>VLOOKUP(B206,Real_Estate_Stats_Preferred!$A$2:$G$215,7,FALSE)</f>
        <v>10887000</v>
      </c>
      <c r="L206" s="18">
        <f t="shared" si="1"/>
        <v>1089113000</v>
      </c>
      <c r="M206" s="4">
        <v>0.37</v>
      </c>
      <c r="N206" s="4">
        <v>0.05</v>
      </c>
      <c r="O206" s="29">
        <f t="shared" si="2"/>
        <v>54455650</v>
      </c>
      <c r="P206" s="29">
        <f t="shared" si="3"/>
        <v>86437539.68</v>
      </c>
      <c r="Q206" s="29">
        <f t="shared" si="4"/>
        <v>31981889.68</v>
      </c>
      <c r="R206" s="4">
        <v>0.075</v>
      </c>
      <c r="S206" s="29">
        <f t="shared" si="5"/>
        <v>62623997.5</v>
      </c>
      <c r="T206" s="29">
        <f t="shared" si="6"/>
        <v>99403170.63</v>
      </c>
      <c r="U206" s="29">
        <f t="shared" si="7"/>
        <v>36779173.13</v>
      </c>
      <c r="W206" s="5" t="s">
        <v>737</v>
      </c>
      <c r="X206" s="7" t="s">
        <v>810</v>
      </c>
    </row>
    <row r="207" ht="14.25" customHeight="1">
      <c r="A207" s="4">
        <v>205.0</v>
      </c>
      <c r="B207" s="2" t="s">
        <v>652</v>
      </c>
      <c r="C207" s="2" t="s">
        <v>649</v>
      </c>
      <c r="D207" s="3">
        <v>1.1E9</v>
      </c>
      <c r="E207" s="2" t="s">
        <v>17</v>
      </c>
      <c r="F207" s="4" t="str">
        <f>VLOOKUP(B207,Raw_Data_Collection!$B$2:$F$215,5,FALSE)</f>
        <v>N</v>
      </c>
      <c r="G207" s="3">
        <f>VLOOKUP(B207,Raw_Data_Collection!$B$2:$J$215,6,FALSE)</f>
        <v>13122419</v>
      </c>
      <c r="H207" s="5" t="s">
        <v>653</v>
      </c>
      <c r="I207" s="4">
        <v>2026.0</v>
      </c>
      <c r="J207" s="2" t="str">
        <f>VLOOKUP(B207,Raw_Data_Collection!$B$2:$J$215,9,FALSE)</f>
        <v/>
      </c>
      <c r="K207" s="18">
        <f>VLOOKUP(B207,Real_Estate_Stats_Preferred!$A$2:$G$215,7,FALSE)</f>
        <v>13122419</v>
      </c>
      <c r="L207" s="18">
        <f t="shared" si="1"/>
        <v>1086877581</v>
      </c>
      <c r="M207" s="4">
        <v>0.37</v>
      </c>
      <c r="N207" s="4">
        <v>0.05</v>
      </c>
      <c r="O207" s="29">
        <f t="shared" si="2"/>
        <v>54343879.05</v>
      </c>
      <c r="P207" s="29">
        <f t="shared" si="3"/>
        <v>86260125.48</v>
      </c>
      <c r="Q207" s="29">
        <f t="shared" si="4"/>
        <v>31916246.43</v>
      </c>
      <c r="R207" s="4">
        <v>0.075</v>
      </c>
      <c r="S207" s="29">
        <f t="shared" si="5"/>
        <v>62495460.91</v>
      </c>
      <c r="T207" s="29">
        <f t="shared" si="6"/>
        <v>99199144.3</v>
      </c>
      <c r="U207" s="29">
        <f t="shared" si="7"/>
        <v>36703683.39</v>
      </c>
      <c r="V207" s="4"/>
      <c r="W207" s="4"/>
      <c r="X207" s="6" t="s">
        <v>811</v>
      </c>
    </row>
    <row r="208" ht="14.25" customHeight="1">
      <c r="A208" s="4">
        <v>206.0</v>
      </c>
      <c r="B208" s="15" t="s">
        <v>655</v>
      </c>
      <c r="C208" s="2" t="s">
        <v>649</v>
      </c>
      <c r="D208" s="3">
        <v>1.1E9</v>
      </c>
      <c r="E208" s="2" t="s">
        <v>63</v>
      </c>
      <c r="F208" s="4" t="str">
        <f>VLOOKUP(B208,Raw_Data_Collection!$B$2:$F$215,5,FALSE)</f>
        <v>N</v>
      </c>
      <c r="G208" s="3" t="str">
        <f>VLOOKUP(B208,Raw_Data_Collection!$B$2:$J$215,6,FALSE)</f>
        <v/>
      </c>
      <c r="J208" s="2" t="str">
        <f>VLOOKUP(B208,Raw_Data_Collection!$B$2:$J$215,9,FALSE)</f>
        <v/>
      </c>
      <c r="K208" s="18">
        <f>VLOOKUP(B208,Real_Estate_Stats_Preferred!$A$2:$G$215,7,FALSE)</f>
        <v>6996392.857</v>
      </c>
      <c r="L208" s="18">
        <f t="shared" si="1"/>
        <v>1093003607</v>
      </c>
      <c r="M208" s="4">
        <v>0.37</v>
      </c>
      <c r="N208" s="4">
        <v>0.05</v>
      </c>
      <c r="O208" s="29">
        <f t="shared" si="2"/>
        <v>54650180.36</v>
      </c>
      <c r="P208" s="29">
        <f t="shared" si="3"/>
        <v>86746318.03</v>
      </c>
      <c r="Q208" s="29">
        <f t="shared" si="4"/>
        <v>32096137.67</v>
      </c>
      <c r="R208" s="4">
        <v>0.075</v>
      </c>
      <c r="S208" s="29">
        <f t="shared" si="5"/>
        <v>62847707.41</v>
      </c>
      <c r="T208" s="29">
        <f t="shared" si="6"/>
        <v>99758265.73</v>
      </c>
      <c r="U208" s="29">
        <f t="shared" si="7"/>
        <v>36910558.32</v>
      </c>
    </row>
    <row r="209" ht="14.25" customHeight="1">
      <c r="A209" s="4">
        <v>207.0</v>
      </c>
      <c r="B209" s="15" t="s">
        <v>656</v>
      </c>
      <c r="C209" s="2" t="s">
        <v>649</v>
      </c>
      <c r="D209" s="3">
        <v>1.1E9</v>
      </c>
      <c r="E209" s="2" t="s">
        <v>100</v>
      </c>
      <c r="F209" s="4" t="str">
        <f>VLOOKUP(B209,Raw_Data_Collection!$B$2:$F$215,5,FALSE)</f>
        <v>N</v>
      </c>
      <c r="G209" s="3" t="str">
        <f>VLOOKUP(B209,Raw_Data_Collection!$B$2:$J$215,6,FALSE)</f>
        <v/>
      </c>
      <c r="J209" s="2" t="str">
        <f>VLOOKUP(B209,Raw_Data_Collection!$B$2:$J$215,9,FALSE)</f>
        <v/>
      </c>
      <c r="K209" s="18">
        <f>VLOOKUP(B209,Real_Estate_Stats_Preferred!$A$2:$G$215,7,FALSE)</f>
        <v>6996392.857</v>
      </c>
      <c r="L209" s="18">
        <f t="shared" si="1"/>
        <v>1093003607</v>
      </c>
      <c r="M209" s="4">
        <v>0.37</v>
      </c>
      <c r="N209" s="4">
        <v>0.05</v>
      </c>
      <c r="O209" s="29">
        <f t="shared" si="2"/>
        <v>54650180.36</v>
      </c>
      <c r="P209" s="29">
        <f t="shared" si="3"/>
        <v>86746318.03</v>
      </c>
      <c r="Q209" s="29">
        <f t="shared" si="4"/>
        <v>32096137.67</v>
      </c>
      <c r="R209" s="4">
        <v>0.075</v>
      </c>
      <c r="S209" s="29">
        <f t="shared" si="5"/>
        <v>62847707.41</v>
      </c>
      <c r="T209" s="29">
        <f t="shared" si="6"/>
        <v>99758265.73</v>
      </c>
      <c r="U209" s="29">
        <f t="shared" si="7"/>
        <v>36910558.32</v>
      </c>
    </row>
    <row r="210" ht="14.25" customHeight="1">
      <c r="A210" s="4">
        <v>208.0</v>
      </c>
      <c r="B210" s="2" t="s">
        <v>657</v>
      </c>
      <c r="C210" s="2" t="s">
        <v>649</v>
      </c>
      <c r="D210" s="3">
        <v>1.1E9</v>
      </c>
      <c r="E210" s="2" t="s">
        <v>87</v>
      </c>
      <c r="F210" s="4" t="str">
        <f>VLOOKUP(B210,Raw_Data_Collection!$B$2:$F$215,5,FALSE)</f>
        <v>N</v>
      </c>
      <c r="G210" s="3">
        <f>VLOOKUP(B210,Raw_Data_Collection!$B$2:$J$215,6,FALSE)</f>
        <v>28090701</v>
      </c>
      <c r="H210" s="5" t="s">
        <v>658</v>
      </c>
      <c r="I210" s="4">
        <v>2026.0</v>
      </c>
      <c r="J210" s="2" t="str">
        <f>VLOOKUP(B210,Raw_Data_Collection!$B$2:$J$215,9,FALSE)</f>
        <v/>
      </c>
      <c r="K210" s="18">
        <f>VLOOKUP(B210,Real_Estate_Stats_Preferred!$A$2:$G$215,7,FALSE)</f>
        <v>28090701</v>
      </c>
      <c r="L210" s="18">
        <f t="shared" si="1"/>
        <v>1071909299</v>
      </c>
      <c r="M210" s="4">
        <v>0.37</v>
      </c>
      <c r="N210" s="4">
        <v>0.05</v>
      </c>
      <c r="O210" s="29">
        <f t="shared" si="2"/>
        <v>53595464.95</v>
      </c>
      <c r="P210" s="29">
        <f t="shared" si="3"/>
        <v>85072166.59</v>
      </c>
      <c r="Q210" s="29">
        <f t="shared" si="4"/>
        <v>31476701.64</v>
      </c>
      <c r="R210" s="4">
        <v>0.075</v>
      </c>
      <c r="S210" s="29">
        <f t="shared" si="5"/>
        <v>61634784.69</v>
      </c>
      <c r="T210" s="29">
        <f t="shared" si="6"/>
        <v>97832991.58</v>
      </c>
      <c r="U210" s="29">
        <f t="shared" si="7"/>
        <v>36198206.88</v>
      </c>
      <c r="V210" s="4"/>
      <c r="W210" s="12" t="s">
        <v>659</v>
      </c>
      <c r="X210" s="12" t="s">
        <v>660</v>
      </c>
    </row>
    <row r="211" ht="14.25" customHeight="1">
      <c r="A211" s="4">
        <v>209.0</v>
      </c>
      <c r="B211" s="15" t="s">
        <v>661</v>
      </c>
      <c r="C211" s="2" t="s">
        <v>662</v>
      </c>
      <c r="D211" s="3">
        <v>1.0E9</v>
      </c>
      <c r="E211" s="2" t="s">
        <v>100</v>
      </c>
      <c r="F211" s="4" t="str">
        <f>VLOOKUP(B211,Raw_Data_Collection!$B$2:$F$215,5,FALSE)</f>
        <v>N</v>
      </c>
      <c r="G211" s="3" t="str">
        <f>VLOOKUP(B211,Raw_Data_Collection!$B$2:$J$215,6,FALSE)</f>
        <v/>
      </c>
      <c r="J211" s="2" t="str">
        <f>VLOOKUP(B211,Raw_Data_Collection!$B$2:$J$215,9,FALSE)</f>
        <v/>
      </c>
      <c r="K211" s="18">
        <f>VLOOKUP(B211,Real_Estate_Stats_Preferred!$A$2:$G$215,7,FALSE)</f>
        <v>6360357.143</v>
      </c>
      <c r="L211" s="18">
        <f t="shared" si="1"/>
        <v>993639642.9</v>
      </c>
      <c r="M211" s="4">
        <v>0.37</v>
      </c>
      <c r="N211" s="4">
        <v>0.05</v>
      </c>
      <c r="O211" s="29">
        <f t="shared" si="2"/>
        <v>49681982.14</v>
      </c>
      <c r="P211" s="29">
        <f t="shared" si="3"/>
        <v>78860289.12</v>
      </c>
      <c r="Q211" s="29">
        <f t="shared" si="4"/>
        <v>29178306.97</v>
      </c>
      <c r="R211" s="4">
        <v>0.075</v>
      </c>
      <c r="S211" s="29">
        <f t="shared" si="5"/>
        <v>57134279.46</v>
      </c>
      <c r="T211" s="29">
        <f t="shared" si="6"/>
        <v>90689332.48</v>
      </c>
      <c r="U211" s="29">
        <f t="shared" si="7"/>
        <v>33555053.02</v>
      </c>
    </row>
    <row r="212" ht="14.25" customHeight="1">
      <c r="A212" s="4">
        <v>210.0</v>
      </c>
      <c r="B212" s="2" t="s">
        <v>663</v>
      </c>
      <c r="C212" s="2" t="s">
        <v>662</v>
      </c>
      <c r="D212" s="3">
        <v>1.0E9</v>
      </c>
      <c r="E212" s="2" t="s">
        <v>100</v>
      </c>
      <c r="F212" s="4" t="str">
        <f>VLOOKUP(B212,Raw_Data_Collection!$B$2:$F$215,5,FALSE)</f>
        <v>N</v>
      </c>
      <c r="G212" s="3" t="str">
        <f>VLOOKUP(B212,Raw_Data_Collection!$B$2:$J$215,6,FALSE)</f>
        <v/>
      </c>
      <c r="J212" s="2" t="str">
        <f>VLOOKUP(B212,Raw_Data_Collection!$B$2:$J$215,9,FALSE)</f>
        <v/>
      </c>
      <c r="K212" s="18">
        <f>VLOOKUP(B212,Real_Estate_Stats_Preferred!$A$2:$G$215,7,FALSE)</f>
        <v>6360357.143</v>
      </c>
      <c r="L212" s="18">
        <f t="shared" si="1"/>
        <v>993639642.9</v>
      </c>
      <c r="M212" s="4">
        <v>0.37</v>
      </c>
      <c r="N212" s="4">
        <v>0.05</v>
      </c>
      <c r="O212" s="29">
        <f t="shared" si="2"/>
        <v>49681982.14</v>
      </c>
      <c r="P212" s="29">
        <f t="shared" si="3"/>
        <v>78860289.12</v>
      </c>
      <c r="Q212" s="29">
        <f t="shared" si="4"/>
        <v>29178306.97</v>
      </c>
      <c r="R212" s="4">
        <v>0.075</v>
      </c>
      <c r="S212" s="29">
        <f t="shared" si="5"/>
        <v>57134279.46</v>
      </c>
      <c r="T212" s="29">
        <f t="shared" si="6"/>
        <v>90689332.48</v>
      </c>
      <c r="U212" s="29">
        <f t="shared" si="7"/>
        <v>33555053.02</v>
      </c>
    </row>
    <row r="213" ht="14.25" customHeight="1">
      <c r="A213" s="4">
        <v>211.0</v>
      </c>
      <c r="B213" s="2" t="s">
        <v>664</v>
      </c>
      <c r="C213" s="2" t="s">
        <v>662</v>
      </c>
      <c r="D213" s="3">
        <v>1.0E9</v>
      </c>
      <c r="E213" s="2" t="s">
        <v>100</v>
      </c>
      <c r="F213" s="4" t="str">
        <f>VLOOKUP(B213,Raw_Data_Collection!$B$2:$F$215,5,FALSE)</f>
        <v>N</v>
      </c>
      <c r="G213" s="3">
        <f>VLOOKUP(B213,Raw_Data_Collection!$B$2:$J$215,6,FALSE)</f>
        <v>6317072</v>
      </c>
      <c r="J213" s="18">
        <f>VLOOKUP(B213,Raw_Data_Collection!$B$2:$J$215,9,FALSE)</f>
        <v>6317072</v>
      </c>
      <c r="K213" s="18">
        <f>VLOOKUP(B213,Real_Estate_Stats_Preferred!$A$2:$G$215,7,FALSE)</f>
        <v>6360357.143</v>
      </c>
      <c r="L213" s="18">
        <f t="shared" si="1"/>
        <v>993639642.9</v>
      </c>
      <c r="M213" s="4">
        <v>0.37</v>
      </c>
      <c r="N213" s="4">
        <v>0.05</v>
      </c>
      <c r="O213" s="29">
        <f t="shared" si="2"/>
        <v>49681982.14</v>
      </c>
      <c r="P213" s="29">
        <f t="shared" si="3"/>
        <v>78860289.12</v>
      </c>
      <c r="Q213" s="29">
        <f t="shared" si="4"/>
        <v>29178306.97</v>
      </c>
      <c r="R213" s="4">
        <v>0.075</v>
      </c>
      <c r="S213" s="29">
        <f t="shared" si="5"/>
        <v>57134279.46</v>
      </c>
      <c r="T213" s="29">
        <f t="shared" si="6"/>
        <v>90689332.48</v>
      </c>
      <c r="U213" s="29">
        <f t="shared" si="7"/>
        <v>33555053.02</v>
      </c>
    </row>
    <row r="214" ht="14.25" customHeight="1">
      <c r="A214" s="4">
        <v>212.0</v>
      </c>
      <c r="B214" s="4" t="s">
        <v>812</v>
      </c>
      <c r="C214" s="4" t="s">
        <v>497</v>
      </c>
      <c r="D214" s="3">
        <v>2.0E9</v>
      </c>
      <c r="E214" s="2" t="s">
        <v>100</v>
      </c>
      <c r="F214" s="4" t="s">
        <v>18</v>
      </c>
      <c r="G214" s="3">
        <v>1.27526E7</v>
      </c>
      <c r="H214" s="5" t="s">
        <v>813</v>
      </c>
      <c r="I214" s="4">
        <v>2025.0</v>
      </c>
      <c r="J214" s="18">
        <f>G214</f>
        <v>12752600</v>
      </c>
      <c r="K214" s="18">
        <f>VLOOKUP(B214,Real_Estate_Stats_Preferred!$A$2:$G$215,7,FALSE)</f>
        <v>12752600</v>
      </c>
      <c r="L214" s="18">
        <f t="shared" si="1"/>
        <v>1987247400</v>
      </c>
      <c r="M214" s="4">
        <v>0.37</v>
      </c>
      <c r="N214" s="4">
        <v>0.05</v>
      </c>
      <c r="O214" s="29">
        <f t="shared" si="2"/>
        <v>99362370</v>
      </c>
      <c r="P214" s="29">
        <f t="shared" si="3"/>
        <v>157718047.6</v>
      </c>
      <c r="Q214" s="29">
        <f t="shared" si="4"/>
        <v>58355677.62</v>
      </c>
      <c r="R214" s="4">
        <v>0.075</v>
      </c>
      <c r="S214" s="29">
        <f t="shared" si="5"/>
        <v>114266725.5</v>
      </c>
      <c r="T214" s="29">
        <f t="shared" si="6"/>
        <v>181375754.8</v>
      </c>
      <c r="U214" s="29">
        <f t="shared" si="7"/>
        <v>67109029.26</v>
      </c>
    </row>
    <row r="215" ht="14.25" customHeight="1">
      <c r="D215" s="3"/>
    </row>
    <row r="216" ht="14.25" customHeight="1">
      <c r="D216" s="3"/>
    </row>
    <row r="217" ht="14.25" customHeight="1">
      <c r="D217" s="3"/>
    </row>
    <row r="218" ht="14.25" customHeight="1">
      <c r="D218" s="3"/>
    </row>
    <row r="219" ht="14.25" customHeight="1">
      <c r="D219" s="3"/>
      <c r="O219" s="31"/>
    </row>
    <row r="220" ht="14.25" customHeight="1">
      <c r="D220" s="3"/>
    </row>
    <row r="221" ht="14.25" customHeight="1">
      <c r="D221" s="3"/>
      <c r="O221" s="17"/>
    </row>
    <row r="222" ht="14.25" customHeight="1">
      <c r="D222" s="3"/>
    </row>
    <row r="223" ht="14.25" customHeight="1">
      <c r="D223" s="3"/>
    </row>
    <row r="224" ht="14.25" customHeight="1">
      <c r="D224" s="3"/>
    </row>
    <row r="225" ht="14.25" customHeight="1">
      <c r="D225" s="3"/>
    </row>
    <row r="226" ht="14.25" customHeight="1">
      <c r="D226" s="3"/>
    </row>
    <row r="227" ht="14.25" customHeight="1">
      <c r="D227" s="3"/>
    </row>
    <row r="228" ht="14.25" customHeight="1">
      <c r="D228" s="3"/>
    </row>
    <row r="229" ht="14.25" customHeight="1">
      <c r="D229" s="3"/>
    </row>
    <row r="230" ht="14.25" customHeight="1">
      <c r="D230" s="3"/>
    </row>
    <row r="231" ht="14.25" customHeight="1">
      <c r="D231" s="3"/>
    </row>
    <row r="232" ht="14.25" customHeight="1">
      <c r="D232" s="3"/>
    </row>
    <row r="233" ht="14.25" customHeight="1">
      <c r="D233" s="3"/>
    </row>
    <row r="234" ht="14.25" customHeight="1">
      <c r="D234" s="3"/>
    </row>
    <row r="235" ht="14.25" customHeight="1">
      <c r="D235" s="3"/>
    </row>
    <row r="236" ht="14.25" customHeight="1">
      <c r="D236" s="3"/>
    </row>
    <row r="237" ht="14.25" customHeight="1">
      <c r="D237" s="3"/>
    </row>
    <row r="238" ht="14.25" customHeight="1">
      <c r="D238" s="3"/>
    </row>
    <row r="239" ht="14.25" customHeight="1">
      <c r="D239" s="3"/>
    </row>
    <row r="240" ht="14.25" customHeight="1">
      <c r="D240" s="3"/>
    </row>
    <row r="241" ht="14.25" customHeight="1">
      <c r="D241" s="3"/>
    </row>
    <row r="242" ht="14.25" customHeight="1">
      <c r="D242" s="3"/>
    </row>
    <row r="243" ht="14.25" customHeight="1">
      <c r="D243" s="3"/>
    </row>
    <row r="244" ht="14.25" customHeight="1">
      <c r="D244" s="3"/>
    </row>
    <row r="245" ht="14.25" customHeight="1">
      <c r="D245" s="3"/>
    </row>
    <row r="246" ht="14.25" customHeight="1">
      <c r="D246" s="3"/>
    </row>
    <row r="247" ht="14.25" customHeight="1">
      <c r="D247" s="3"/>
    </row>
    <row r="248" ht="14.25" customHeight="1">
      <c r="D248" s="3"/>
    </row>
    <row r="249" ht="14.25" customHeight="1">
      <c r="D249" s="3"/>
    </row>
    <row r="250" ht="14.25" customHeight="1">
      <c r="D250" s="3"/>
    </row>
    <row r="251" ht="14.25" customHeight="1">
      <c r="D251" s="3"/>
    </row>
    <row r="252" ht="14.25" customHeight="1">
      <c r="D252" s="3"/>
    </row>
    <row r="253" ht="14.25" customHeight="1">
      <c r="D253" s="3"/>
    </row>
    <row r="254" ht="14.25" customHeight="1">
      <c r="D254" s="3"/>
    </row>
    <row r="255" ht="14.25" customHeight="1">
      <c r="D255" s="3"/>
    </row>
    <row r="256" ht="14.25" customHeight="1">
      <c r="D256" s="3"/>
    </row>
    <row r="257" ht="14.25" customHeight="1">
      <c r="D257" s="3"/>
    </row>
    <row r="258" ht="14.25" customHeight="1">
      <c r="D258" s="3"/>
    </row>
    <row r="259" ht="14.25" customHeight="1">
      <c r="D259" s="3"/>
    </row>
    <row r="260" ht="14.25" customHeight="1">
      <c r="D260" s="3"/>
    </row>
    <row r="261" ht="14.25" customHeight="1">
      <c r="D261" s="3"/>
    </row>
    <row r="262" ht="14.25" customHeight="1">
      <c r="D262" s="3"/>
    </row>
    <row r="263" ht="14.25" customHeight="1">
      <c r="D263" s="3"/>
    </row>
    <row r="264" ht="14.25" customHeight="1">
      <c r="D264" s="3"/>
    </row>
    <row r="265" ht="14.25" customHeight="1">
      <c r="D265" s="3"/>
    </row>
    <row r="266" ht="14.25" customHeight="1">
      <c r="D266" s="3"/>
    </row>
    <row r="267" ht="14.25" customHeight="1">
      <c r="D267" s="3"/>
    </row>
    <row r="268" ht="14.25" customHeight="1">
      <c r="D268" s="3"/>
    </row>
    <row r="269" ht="14.25" customHeight="1">
      <c r="D269" s="3"/>
    </row>
    <row r="270" ht="14.25" customHeight="1">
      <c r="D270" s="3"/>
    </row>
    <row r="271" ht="14.25" customHeight="1">
      <c r="D271" s="3"/>
    </row>
    <row r="272" ht="14.25" customHeight="1">
      <c r="D272" s="3"/>
    </row>
    <row r="273" ht="14.25" customHeight="1">
      <c r="D273" s="3"/>
    </row>
    <row r="274" ht="14.25" customHeight="1">
      <c r="D274" s="3"/>
    </row>
    <row r="275" ht="14.25" customHeight="1">
      <c r="D275" s="3"/>
    </row>
    <row r="276" ht="14.25" customHeight="1">
      <c r="D276" s="3"/>
    </row>
    <row r="277" ht="14.25" customHeight="1">
      <c r="D277" s="3"/>
    </row>
    <row r="278" ht="14.25" customHeight="1">
      <c r="D278" s="3"/>
    </row>
    <row r="279" ht="14.25" customHeight="1">
      <c r="D279" s="3"/>
    </row>
    <row r="280" ht="14.25" customHeight="1">
      <c r="D280" s="3"/>
    </row>
    <row r="281" ht="14.25" customHeight="1">
      <c r="D281" s="3"/>
    </row>
    <row r="282" ht="14.25" customHeight="1">
      <c r="D282" s="3"/>
    </row>
    <row r="283" ht="14.25" customHeight="1">
      <c r="D283" s="3"/>
    </row>
    <row r="284" ht="14.25" customHeight="1">
      <c r="D284" s="3"/>
    </row>
    <row r="285" ht="14.25" customHeight="1">
      <c r="D285" s="3"/>
    </row>
    <row r="286" ht="14.25" customHeight="1">
      <c r="D286" s="3"/>
    </row>
    <row r="287" ht="14.25" customHeight="1">
      <c r="D287" s="3"/>
    </row>
    <row r="288" ht="14.25" customHeight="1">
      <c r="D288" s="3"/>
    </row>
    <row r="289" ht="14.25" customHeight="1">
      <c r="D289" s="3"/>
    </row>
    <row r="290" ht="14.25" customHeight="1">
      <c r="D290" s="3"/>
    </row>
    <row r="291" ht="14.25" customHeight="1">
      <c r="D291" s="3"/>
    </row>
    <row r="292" ht="14.25" customHeight="1">
      <c r="D292" s="3"/>
    </row>
    <row r="293" ht="14.25" customHeight="1">
      <c r="D293" s="3"/>
    </row>
    <row r="294" ht="14.25" customHeight="1">
      <c r="D294" s="3"/>
    </row>
    <row r="295" ht="14.25" customHeight="1">
      <c r="D295" s="3"/>
    </row>
    <row r="296" ht="14.25" customHeight="1">
      <c r="D296" s="3"/>
    </row>
    <row r="297" ht="14.25" customHeight="1">
      <c r="D297" s="3"/>
    </row>
    <row r="298" ht="14.25" customHeight="1">
      <c r="D298" s="3"/>
    </row>
    <row r="299" ht="14.25" customHeight="1">
      <c r="D299" s="3"/>
    </row>
    <row r="300" ht="14.25" customHeight="1">
      <c r="D300" s="3"/>
    </row>
    <row r="301" ht="14.25" customHeight="1">
      <c r="D301" s="3"/>
    </row>
    <row r="302" ht="14.25" customHeight="1">
      <c r="D302" s="3"/>
    </row>
    <row r="303" ht="14.25" customHeight="1">
      <c r="D303" s="3"/>
    </row>
    <row r="304" ht="14.25" customHeight="1">
      <c r="D304" s="3"/>
    </row>
    <row r="305" ht="14.25" customHeight="1">
      <c r="D305" s="3"/>
    </row>
    <row r="306" ht="14.25" customHeight="1">
      <c r="D306" s="3"/>
    </row>
    <row r="307" ht="14.25" customHeight="1">
      <c r="D307" s="3"/>
    </row>
    <row r="308" ht="14.25" customHeight="1">
      <c r="D308" s="3"/>
    </row>
    <row r="309" ht="14.25" customHeight="1">
      <c r="D309" s="3"/>
    </row>
    <row r="310" ht="14.25" customHeight="1">
      <c r="D310" s="3"/>
    </row>
    <row r="311" ht="14.25" customHeight="1">
      <c r="D311" s="3"/>
    </row>
    <row r="312" ht="14.25" customHeight="1">
      <c r="D312" s="3"/>
    </row>
    <row r="313" ht="14.25" customHeight="1">
      <c r="D313" s="3"/>
    </row>
    <row r="314" ht="14.25" customHeight="1">
      <c r="D314" s="3"/>
    </row>
    <row r="315" ht="14.25" customHeight="1">
      <c r="D315" s="3"/>
    </row>
    <row r="316" ht="14.25" customHeight="1">
      <c r="D316" s="3"/>
    </row>
    <row r="317" ht="14.25" customHeight="1">
      <c r="D317" s="3"/>
    </row>
    <row r="318" ht="14.25" customHeight="1">
      <c r="D318" s="3"/>
    </row>
    <row r="319" ht="14.25" customHeight="1">
      <c r="D319" s="3"/>
    </row>
    <row r="320" ht="14.25" customHeight="1">
      <c r="D320" s="3"/>
    </row>
    <row r="321" ht="14.25" customHeight="1">
      <c r="D321" s="3"/>
    </row>
    <row r="322" ht="14.25" customHeight="1">
      <c r="D322" s="3"/>
    </row>
    <row r="323" ht="14.25" customHeight="1">
      <c r="D323" s="3"/>
    </row>
    <row r="324" ht="14.25" customHeight="1">
      <c r="D324" s="3"/>
    </row>
    <row r="325" ht="14.25" customHeight="1">
      <c r="D325" s="3"/>
    </row>
    <row r="326" ht="14.25" customHeight="1">
      <c r="D326" s="3"/>
    </row>
    <row r="327" ht="14.25" customHeight="1">
      <c r="D327" s="3"/>
    </row>
    <row r="328" ht="14.25" customHeight="1">
      <c r="D328" s="3"/>
    </row>
    <row r="329" ht="14.25" customHeight="1">
      <c r="D329" s="3"/>
    </row>
    <row r="330" ht="14.25" customHeight="1">
      <c r="D330" s="3"/>
    </row>
    <row r="331" ht="14.25" customHeight="1">
      <c r="D331" s="3"/>
    </row>
    <row r="332" ht="14.25" customHeight="1">
      <c r="D332" s="3"/>
    </row>
    <row r="333" ht="14.25" customHeight="1">
      <c r="D333" s="3"/>
    </row>
    <row r="334" ht="14.25" customHeight="1">
      <c r="D334" s="3"/>
    </row>
    <row r="335" ht="14.25" customHeight="1">
      <c r="D335" s="3"/>
    </row>
    <row r="336" ht="14.25" customHeight="1">
      <c r="D336" s="3"/>
    </row>
    <row r="337" ht="14.25" customHeight="1">
      <c r="D337" s="3"/>
    </row>
    <row r="338" ht="14.25" customHeight="1">
      <c r="D338" s="3"/>
    </row>
    <row r="339" ht="14.25" customHeight="1">
      <c r="D339" s="3"/>
    </row>
    <row r="340" ht="14.25" customHeight="1">
      <c r="D340" s="3"/>
    </row>
    <row r="341" ht="14.25" customHeight="1">
      <c r="D341" s="3"/>
    </row>
    <row r="342" ht="14.25" customHeight="1">
      <c r="D342" s="3"/>
    </row>
    <row r="343" ht="14.25" customHeight="1">
      <c r="D343" s="3"/>
    </row>
    <row r="344" ht="14.25" customHeight="1">
      <c r="D344" s="3"/>
    </row>
    <row r="345" ht="14.25" customHeight="1">
      <c r="D345" s="3"/>
    </row>
    <row r="346" ht="14.25" customHeight="1">
      <c r="D346" s="3"/>
    </row>
    <row r="347" ht="14.25" customHeight="1">
      <c r="D347" s="3"/>
    </row>
    <row r="348" ht="14.25" customHeight="1">
      <c r="D348" s="3"/>
    </row>
    <row r="349" ht="14.25" customHeight="1">
      <c r="D349" s="3"/>
    </row>
    <row r="350" ht="14.25" customHeight="1">
      <c r="D350" s="3"/>
    </row>
    <row r="351" ht="14.25" customHeight="1">
      <c r="D351" s="3"/>
    </row>
    <row r="352" ht="14.25" customHeight="1">
      <c r="D352" s="3"/>
    </row>
    <row r="353" ht="14.25" customHeight="1">
      <c r="D353" s="3"/>
    </row>
    <row r="354" ht="14.25" customHeight="1">
      <c r="D354" s="3"/>
    </row>
    <row r="355" ht="14.25" customHeight="1">
      <c r="D355" s="3"/>
    </row>
    <row r="356" ht="14.25" customHeight="1">
      <c r="D356" s="3"/>
    </row>
    <row r="357" ht="14.25" customHeight="1">
      <c r="D357" s="3"/>
    </row>
    <row r="358" ht="14.25" customHeight="1">
      <c r="D358" s="3"/>
    </row>
    <row r="359" ht="14.25" customHeight="1">
      <c r="D359" s="3"/>
    </row>
    <row r="360" ht="14.25" customHeight="1">
      <c r="D360" s="3"/>
    </row>
    <row r="361" ht="14.25" customHeight="1">
      <c r="D361" s="3"/>
    </row>
    <row r="362" ht="14.25" customHeight="1">
      <c r="D362" s="3"/>
    </row>
    <row r="363" ht="14.25" customHeight="1">
      <c r="D363" s="3"/>
    </row>
    <row r="364" ht="14.25" customHeight="1">
      <c r="D364" s="3"/>
    </row>
    <row r="365" ht="14.25" customHeight="1">
      <c r="D365" s="3"/>
    </row>
    <row r="366" ht="14.25" customHeight="1">
      <c r="D366" s="3"/>
    </row>
    <row r="367" ht="14.25" customHeight="1">
      <c r="D367" s="3"/>
    </row>
    <row r="368" ht="14.25" customHeight="1">
      <c r="D368" s="3"/>
    </row>
    <row r="369" ht="14.25" customHeight="1">
      <c r="D369" s="3"/>
    </row>
    <row r="370" ht="14.25" customHeight="1">
      <c r="D370" s="3"/>
    </row>
    <row r="371" ht="14.25" customHeight="1">
      <c r="D371" s="3"/>
    </row>
    <row r="372" ht="14.25" customHeight="1">
      <c r="D372" s="3"/>
    </row>
    <row r="373" ht="14.25" customHeight="1">
      <c r="D373" s="3"/>
    </row>
    <row r="374" ht="14.25" customHeight="1">
      <c r="D374" s="3"/>
    </row>
    <row r="375" ht="14.25" customHeight="1">
      <c r="D375" s="3"/>
    </row>
    <row r="376" ht="14.25" customHeight="1">
      <c r="D376" s="3"/>
    </row>
    <row r="377" ht="14.25" customHeight="1">
      <c r="D377" s="3"/>
    </row>
    <row r="378" ht="14.25" customHeight="1">
      <c r="D378" s="3"/>
    </row>
    <row r="379" ht="14.25" customHeight="1">
      <c r="D379" s="3"/>
    </row>
    <row r="380" ht="14.25" customHeight="1">
      <c r="D380" s="3"/>
    </row>
    <row r="381" ht="14.25" customHeight="1">
      <c r="D381" s="3"/>
    </row>
    <row r="382" ht="14.25" customHeight="1">
      <c r="D382" s="3"/>
    </row>
    <row r="383" ht="14.25" customHeight="1">
      <c r="D383" s="3"/>
    </row>
    <row r="384" ht="14.25" customHeight="1">
      <c r="D384" s="3"/>
    </row>
    <row r="385" ht="14.25" customHeight="1">
      <c r="D385" s="3"/>
    </row>
    <row r="386" ht="14.25" customHeight="1">
      <c r="D386" s="3"/>
    </row>
    <row r="387" ht="14.25" customHeight="1">
      <c r="D387" s="3"/>
    </row>
    <row r="388" ht="14.25" customHeight="1">
      <c r="D388" s="3"/>
    </row>
    <row r="389" ht="14.25" customHeight="1">
      <c r="D389" s="3"/>
    </row>
    <row r="390" ht="14.25" customHeight="1">
      <c r="D390" s="3"/>
    </row>
    <row r="391" ht="14.25" customHeight="1">
      <c r="D391" s="3"/>
    </row>
    <row r="392" ht="14.25" customHeight="1">
      <c r="D392" s="3"/>
    </row>
    <row r="393" ht="14.25" customHeight="1">
      <c r="D393" s="3"/>
    </row>
    <row r="394" ht="14.25" customHeight="1">
      <c r="D394" s="3"/>
    </row>
    <row r="395" ht="14.25" customHeight="1">
      <c r="D395" s="3"/>
    </row>
    <row r="396" ht="14.25" customHeight="1">
      <c r="D396" s="3"/>
    </row>
    <row r="397" ht="14.25" customHeight="1">
      <c r="D397" s="3"/>
    </row>
    <row r="398" ht="14.25" customHeight="1">
      <c r="D398" s="3"/>
    </row>
    <row r="399" ht="14.25" customHeight="1">
      <c r="D399" s="3"/>
    </row>
    <row r="400" ht="14.25" customHeight="1">
      <c r="D400" s="3"/>
    </row>
    <row r="401" ht="14.25" customHeight="1">
      <c r="D401" s="3"/>
    </row>
    <row r="402" ht="14.25" customHeight="1">
      <c r="D402" s="3"/>
    </row>
    <row r="403" ht="14.25" customHeight="1">
      <c r="D403" s="3"/>
    </row>
    <row r="404" ht="14.25" customHeight="1">
      <c r="D404" s="3"/>
    </row>
    <row r="405" ht="14.25" customHeight="1">
      <c r="D405" s="3"/>
    </row>
    <row r="406" ht="14.25" customHeight="1">
      <c r="D406" s="3"/>
    </row>
    <row r="407" ht="14.25" customHeight="1">
      <c r="D407" s="3"/>
    </row>
    <row r="408" ht="14.25" customHeight="1">
      <c r="D408" s="3"/>
    </row>
    <row r="409" ht="14.25" customHeight="1">
      <c r="D409" s="3"/>
    </row>
    <row r="410" ht="14.25" customHeight="1">
      <c r="D410" s="3"/>
    </row>
    <row r="411" ht="14.25" customHeight="1">
      <c r="D411" s="3"/>
    </row>
    <row r="412" ht="14.25" customHeight="1">
      <c r="D412" s="3"/>
    </row>
    <row r="413" ht="14.25" customHeight="1">
      <c r="D413" s="3"/>
    </row>
    <row r="414" ht="14.25" customHeight="1">
      <c r="D414" s="3"/>
    </row>
    <row r="415" ht="14.25" customHeight="1">
      <c r="D415" s="3"/>
    </row>
    <row r="416" ht="14.25" customHeight="1">
      <c r="D416" s="3"/>
    </row>
    <row r="417" ht="14.25" customHeight="1">
      <c r="D417" s="3"/>
    </row>
    <row r="418" ht="14.25" customHeight="1">
      <c r="D418" s="3"/>
    </row>
    <row r="419" ht="14.25" customHeight="1">
      <c r="D419" s="3"/>
    </row>
    <row r="420" ht="14.25" customHeight="1">
      <c r="D420" s="3"/>
    </row>
    <row r="421" ht="14.25" customHeight="1">
      <c r="D421" s="3"/>
    </row>
    <row r="422" ht="14.25" customHeight="1">
      <c r="D422" s="3"/>
    </row>
    <row r="423" ht="14.25" customHeight="1">
      <c r="D423" s="3"/>
    </row>
    <row r="424" ht="14.25" customHeight="1">
      <c r="D424" s="3"/>
    </row>
    <row r="425" ht="14.25" customHeight="1">
      <c r="D425" s="3"/>
    </row>
    <row r="426" ht="14.25" customHeight="1">
      <c r="D426" s="3"/>
    </row>
    <row r="427" ht="14.25" customHeight="1">
      <c r="D427" s="3"/>
    </row>
    <row r="428" ht="14.25" customHeight="1">
      <c r="D428" s="3"/>
    </row>
    <row r="429" ht="14.25" customHeight="1">
      <c r="D429" s="3"/>
    </row>
    <row r="430" ht="14.25" customHeight="1">
      <c r="D430" s="3"/>
    </row>
    <row r="431" ht="14.25" customHeight="1">
      <c r="D431" s="3"/>
    </row>
    <row r="432" ht="14.25" customHeight="1">
      <c r="D432" s="3"/>
    </row>
    <row r="433" ht="14.25" customHeight="1">
      <c r="D433" s="3"/>
    </row>
    <row r="434" ht="14.25" customHeight="1">
      <c r="D434" s="3"/>
    </row>
    <row r="435" ht="14.25" customHeight="1">
      <c r="D435" s="3"/>
    </row>
    <row r="436" ht="14.25" customHeight="1">
      <c r="D436" s="3"/>
    </row>
    <row r="437" ht="14.25" customHeight="1">
      <c r="D437" s="3"/>
    </row>
    <row r="438" ht="14.25" customHeight="1">
      <c r="D438" s="3"/>
    </row>
    <row r="439" ht="14.25" customHeight="1">
      <c r="D439" s="3"/>
    </row>
    <row r="440" ht="14.25" customHeight="1">
      <c r="D440" s="3"/>
    </row>
    <row r="441" ht="14.25" customHeight="1">
      <c r="D441" s="3"/>
    </row>
    <row r="442" ht="14.25" customHeight="1">
      <c r="D442" s="3"/>
    </row>
    <row r="443" ht="14.25" customHeight="1">
      <c r="D443" s="3"/>
    </row>
    <row r="444" ht="14.25" customHeight="1">
      <c r="D444" s="3"/>
    </row>
    <row r="445" ht="14.25" customHeight="1">
      <c r="D445" s="3"/>
    </row>
    <row r="446" ht="14.25" customHeight="1">
      <c r="D446" s="3"/>
    </row>
    <row r="447" ht="14.25" customHeight="1">
      <c r="D447" s="3"/>
    </row>
    <row r="448" ht="14.25" customHeight="1">
      <c r="D448" s="3"/>
    </row>
    <row r="449" ht="14.25" customHeight="1">
      <c r="D449" s="3"/>
    </row>
    <row r="450" ht="14.25" customHeight="1">
      <c r="D450" s="3"/>
    </row>
    <row r="451" ht="14.25" customHeight="1">
      <c r="D451" s="3"/>
    </row>
    <row r="452" ht="14.25" customHeight="1">
      <c r="D452" s="3"/>
    </row>
    <row r="453" ht="14.25" customHeight="1">
      <c r="D453" s="3"/>
    </row>
    <row r="454" ht="14.25" customHeight="1">
      <c r="D454" s="3"/>
    </row>
    <row r="455" ht="14.25" customHeight="1">
      <c r="D455" s="3"/>
    </row>
    <row r="456" ht="14.25" customHeight="1">
      <c r="D456" s="3"/>
    </row>
    <row r="457" ht="14.25" customHeight="1">
      <c r="D457" s="3"/>
    </row>
    <row r="458" ht="14.25" customHeight="1">
      <c r="D458" s="3"/>
    </row>
    <row r="459" ht="14.25" customHeight="1">
      <c r="D459" s="3"/>
    </row>
    <row r="460" ht="14.25" customHeight="1">
      <c r="D460" s="3"/>
    </row>
    <row r="461" ht="14.25" customHeight="1">
      <c r="D461" s="3"/>
    </row>
    <row r="462" ht="14.25" customHeight="1">
      <c r="D462" s="3"/>
    </row>
    <row r="463" ht="14.25" customHeight="1">
      <c r="D463" s="3"/>
    </row>
    <row r="464" ht="14.25" customHeight="1">
      <c r="D464" s="3"/>
    </row>
    <row r="465" ht="14.25" customHeight="1">
      <c r="D465" s="3"/>
    </row>
    <row r="466" ht="14.25" customHeight="1">
      <c r="D466" s="3"/>
    </row>
    <row r="467" ht="14.25" customHeight="1">
      <c r="D467" s="3"/>
    </row>
    <row r="468" ht="14.25" customHeight="1">
      <c r="D468" s="3"/>
    </row>
    <row r="469" ht="14.25" customHeight="1">
      <c r="D469" s="3"/>
    </row>
    <row r="470" ht="14.25" customHeight="1">
      <c r="D470" s="3"/>
    </row>
    <row r="471" ht="14.25" customHeight="1">
      <c r="D471" s="3"/>
    </row>
    <row r="472" ht="14.25" customHeight="1">
      <c r="D472" s="3"/>
    </row>
    <row r="473" ht="14.25" customHeight="1">
      <c r="D473" s="3"/>
    </row>
    <row r="474" ht="14.25" customHeight="1">
      <c r="D474" s="3"/>
    </row>
    <row r="475" ht="14.25" customHeight="1">
      <c r="D475" s="3"/>
    </row>
    <row r="476" ht="14.25" customHeight="1">
      <c r="D476" s="3"/>
    </row>
    <row r="477" ht="14.25" customHeight="1">
      <c r="D477" s="3"/>
    </row>
    <row r="478" ht="14.25" customHeight="1">
      <c r="D478" s="3"/>
    </row>
    <row r="479" ht="14.25" customHeight="1">
      <c r="D479" s="3"/>
    </row>
    <row r="480" ht="14.25" customHeight="1">
      <c r="D480" s="3"/>
    </row>
    <row r="481" ht="14.25" customHeight="1">
      <c r="D481" s="3"/>
    </row>
    <row r="482" ht="14.25" customHeight="1">
      <c r="D482" s="3"/>
    </row>
    <row r="483" ht="14.25" customHeight="1">
      <c r="D483" s="3"/>
    </row>
    <row r="484" ht="14.25" customHeight="1">
      <c r="D484" s="3"/>
    </row>
    <row r="485" ht="14.25" customHeight="1">
      <c r="D485" s="3"/>
    </row>
    <row r="486" ht="14.25" customHeight="1">
      <c r="D486" s="3"/>
    </row>
    <row r="487" ht="14.25" customHeight="1">
      <c r="D487" s="3"/>
    </row>
    <row r="488" ht="14.25" customHeight="1">
      <c r="D488" s="3"/>
    </row>
    <row r="489" ht="14.25" customHeight="1">
      <c r="D489" s="3"/>
    </row>
    <row r="490" ht="14.25" customHeight="1">
      <c r="D490" s="3"/>
    </row>
    <row r="491" ht="14.25" customHeight="1">
      <c r="D491" s="3"/>
    </row>
    <row r="492" ht="14.25" customHeight="1">
      <c r="D492" s="3"/>
    </row>
    <row r="493" ht="14.25" customHeight="1">
      <c r="D493" s="3"/>
    </row>
    <row r="494" ht="14.25" customHeight="1">
      <c r="D494" s="3"/>
    </row>
    <row r="495" ht="14.25" customHeight="1">
      <c r="D495" s="3"/>
    </row>
    <row r="496" ht="14.25" customHeight="1">
      <c r="D496" s="3"/>
    </row>
    <row r="497" ht="14.25" customHeight="1">
      <c r="D497" s="3"/>
    </row>
    <row r="498" ht="14.25" customHeight="1">
      <c r="D498" s="3"/>
    </row>
    <row r="499" ht="14.25" customHeight="1">
      <c r="D499" s="3"/>
    </row>
    <row r="500" ht="14.25" customHeight="1">
      <c r="D500" s="3"/>
    </row>
    <row r="501" ht="14.25" customHeight="1">
      <c r="D501" s="3"/>
    </row>
    <row r="502" ht="14.25" customHeight="1">
      <c r="D502" s="3"/>
    </row>
    <row r="503" ht="14.25" customHeight="1">
      <c r="D503" s="3"/>
    </row>
    <row r="504" ht="14.25" customHeight="1">
      <c r="D504" s="3"/>
    </row>
    <row r="505" ht="14.25" customHeight="1">
      <c r="D505" s="3"/>
    </row>
    <row r="506" ht="14.25" customHeight="1">
      <c r="D506" s="3"/>
    </row>
    <row r="507" ht="14.25" customHeight="1">
      <c r="D507" s="3"/>
    </row>
    <row r="508" ht="14.25" customHeight="1">
      <c r="D508" s="3"/>
    </row>
    <row r="509" ht="14.25" customHeight="1">
      <c r="D509" s="3"/>
    </row>
    <row r="510" ht="14.25" customHeight="1">
      <c r="D510" s="3"/>
    </row>
    <row r="511" ht="14.25" customHeight="1">
      <c r="D511" s="3"/>
    </row>
    <row r="512" ht="14.25" customHeight="1">
      <c r="D512" s="3"/>
    </row>
    <row r="513" ht="14.25" customHeight="1">
      <c r="D513" s="3"/>
    </row>
    <row r="514" ht="14.25" customHeight="1">
      <c r="D514" s="3"/>
    </row>
    <row r="515" ht="14.25" customHeight="1">
      <c r="D515" s="3"/>
    </row>
    <row r="516" ht="14.25" customHeight="1">
      <c r="D516" s="3"/>
    </row>
    <row r="517" ht="14.25" customHeight="1">
      <c r="D517" s="3"/>
    </row>
    <row r="518" ht="14.25" customHeight="1">
      <c r="D518" s="3"/>
    </row>
    <row r="519" ht="14.25" customHeight="1">
      <c r="D519" s="3"/>
    </row>
    <row r="520" ht="14.25" customHeight="1">
      <c r="D520" s="3"/>
    </row>
    <row r="521" ht="14.25" customHeight="1">
      <c r="D521" s="3"/>
    </row>
    <row r="522" ht="14.25" customHeight="1">
      <c r="D522" s="3"/>
    </row>
    <row r="523" ht="14.25" customHeight="1">
      <c r="D523" s="3"/>
    </row>
    <row r="524" ht="14.25" customHeight="1">
      <c r="D524" s="3"/>
    </row>
    <row r="525" ht="14.25" customHeight="1">
      <c r="D525" s="3"/>
    </row>
    <row r="526" ht="14.25" customHeight="1">
      <c r="D526" s="3"/>
    </row>
    <row r="527" ht="14.25" customHeight="1">
      <c r="D527" s="3"/>
    </row>
    <row r="528" ht="14.25" customHeight="1">
      <c r="D528" s="3"/>
    </row>
    <row r="529" ht="14.25" customHeight="1">
      <c r="D529" s="3"/>
    </row>
    <row r="530" ht="14.25" customHeight="1">
      <c r="D530" s="3"/>
    </row>
    <row r="531" ht="14.25" customHeight="1">
      <c r="D531" s="3"/>
    </row>
    <row r="532" ht="14.25" customHeight="1">
      <c r="D532" s="3"/>
    </row>
    <row r="533" ht="14.25" customHeight="1">
      <c r="D533" s="3"/>
    </row>
    <row r="534" ht="14.25" customHeight="1">
      <c r="D534" s="3"/>
    </row>
    <row r="535" ht="14.25" customHeight="1">
      <c r="D535" s="3"/>
    </row>
    <row r="536" ht="14.25" customHeight="1">
      <c r="D536" s="3"/>
    </row>
    <row r="537" ht="14.25" customHeight="1">
      <c r="D537" s="3"/>
    </row>
    <row r="538" ht="14.25" customHeight="1">
      <c r="D538" s="3"/>
    </row>
    <row r="539" ht="14.25" customHeight="1">
      <c r="D539" s="3"/>
    </row>
    <row r="540" ht="14.25" customHeight="1">
      <c r="D540" s="3"/>
    </row>
    <row r="541" ht="14.25" customHeight="1">
      <c r="D541" s="3"/>
    </row>
    <row r="542" ht="14.25" customHeight="1">
      <c r="D542" s="3"/>
    </row>
    <row r="543" ht="14.25" customHeight="1">
      <c r="D543" s="3"/>
    </row>
    <row r="544" ht="14.25" customHeight="1">
      <c r="D544" s="3"/>
    </row>
    <row r="545" ht="14.25" customHeight="1">
      <c r="D545" s="3"/>
    </row>
    <row r="546" ht="14.25" customHeight="1">
      <c r="D546" s="3"/>
    </row>
    <row r="547" ht="14.25" customHeight="1">
      <c r="D547" s="3"/>
    </row>
    <row r="548" ht="14.25" customHeight="1">
      <c r="D548" s="3"/>
    </row>
    <row r="549" ht="14.25" customHeight="1">
      <c r="D549" s="3"/>
    </row>
    <row r="550" ht="14.25" customHeight="1">
      <c r="D550" s="3"/>
    </row>
    <row r="551" ht="14.25" customHeight="1">
      <c r="D551" s="3"/>
    </row>
    <row r="552" ht="14.25" customHeight="1">
      <c r="D552" s="3"/>
    </row>
    <row r="553" ht="14.25" customHeight="1">
      <c r="D553" s="3"/>
    </row>
    <row r="554" ht="14.25" customHeight="1">
      <c r="D554" s="3"/>
    </row>
    <row r="555" ht="14.25" customHeight="1">
      <c r="D555" s="3"/>
    </row>
    <row r="556" ht="14.25" customHeight="1">
      <c r="D556" s="3"/>
    </row>
    <row r="557" ht="14.25" customHeight="1">
      <c r="D557" s="3"/>
    </row>
    <row r="558" ht="14.25" customHeight="1">
      <c r="D558" s="3"/>
    </row>
    <row r="559" ht="14.25" customHeight="1">
      <c r="D559" s="3"/>
    </row>
    <row r="560" ht="14.25" customHeight="1">
      <c r="D560" s="3"/>
    </row>
    <row r="561" ht="14.25" customHeight="1">
      <c r="D561" s="3"/>
    </row>
    <row r="562" ht="14.25" customHeight="1">
      <c r="D562" s="3"/>
    </row>
    <row r="563" ht="14.25" customHeight="1">
      <c r="D563" s="3"/>
    </row>
    <row r="564" ht="14.25" customHeight="1">
      <c r="D564" s="3"/>
    </row>
    <row r="565" ht="14.25" customHeight="1">
      <c r="D565" s="3"/>
    </row>
    <row r="566" ht="14.25" customHeight="1">
      <c r="D566" s="3"/>
    </row>
    <row r="567" ht="14.25" customHeight="1">
      <c r="D567" s="3"/>
    </row>
    <row r="568" ht="14.25" customHeight="1">
      <c r="D568" s="3"/>
    </row>
    <row r="569" ht="14.25" customHeight="1">
      <c r="D569" s="3"/>
    </row>
    <row r="570" ht="14.25" customHeight="1">
      <c r="D570" s="3"/>
    </row>
    <row r="571" ht="14.25" customHeight="1">
      <c r="D571" s="3"/>
    </row>
    <row r="572" ht="14.25" customHeight="1">
      <c r="D572" s="3"/>
    </row>
    <row r="573" ht="14.25" customHeight="1">
      <c r="D573" s="3"/>
    </row>
    <row r="574" ht="14.25" customHeight="1">
      <c r="D574" s="3"/>
    </row>
    <row r="575" ht="14.25" customHeight="1">
      <c r="D575" s="3"/>
    </row>
    <row r="576" ht="14.25" customHeight="1">
      <c r="D576" s="3"/>
    </row>
    <row r="577" ht="14.25" customHeight="1">
      <c r="D577" s="3"/>
    </row>
    <row r="578" ht="14.25" customHeight="1">
      <c r="D578" s="3"/>
    </row>
    <row r="579" ht="14.25" customHeight="1">
      <c r="D579" s="3"/>
    </row>
    <row r="580" ht="14.25" customHeight="1">
      <c r="D580" s="3"/>
    </row>
    <row r="581" ht="14.25" customHeight="1">
      <c r="D581" s="3"/>
    </row>
    <row r="582" ht="14.25" customHeight="1">
      <c r="D582" s="3"/>
    </row>
    <row r="583" ht="14.25" customHeight="1">
      <c r="D583" s="3"/>
    </row>
    <row r="584" ht="14.25" customHeight="1">
      <c r="D584" s="3"/>
    </row>
    <row r="585" ht="14.25" customHeight="1">
      <c r="D585" s="3"/>
    </row>
    <row r="586" ht="14.25" customHeight="1">
      <c r="D586" s="3"/>
    </row>
    <row r="587" ht="14.25" customHeight="1">
      <c r="D587" s="3"/>
    </row>
    <row r="588" ht="14.25" customHeight="1">
      <c r="D588" s="3"/>
    </row>
    <row r="589" ht="14.25" customHeight="1">
      <c r="D589" s="3"/>
    </row>
    <row r="590" ht="14.25" customHeight="1">
      <c r="D590" s="3"/>
    </row>
    <row r="591" ht="14.25" customHeight="1">
      <c r="D591" s="3"/>
    </row>
    <row r="592" ht="14.25" customHeight="1">
      <c r="D592" s="3"/>
    </row>
    <row r="593" ht="14.25" customHeight="1">
      <c r="D593" s="3"/>
    </row>
    <row r="594" ht="14.25" customHeight="1">
      <c r="D594" s="3"/>
    </row>
    <row r="595" ht="14.25" customHeight="1">
      <c r="D595" s="3"/>
    </row>
    <row r="596" ht="14.25" customHeight="1">
      <c r="D596" s="3"/>
    </row>
    <row r="597" ht="14.25" customHeight="1">
      <c r="D597" s="3"/>
    </row>
    <row r="598" ht="14.25" customHeight="1">
      <c r="D598" s="3"/>
    </row>
    <row r="599" ht="14.25" customHeight="1">
      <c r="D599" s="3"/>
    </row>
    <row r="600" ht="14.25" customHeight="1">
      <c r="D600" s="3"/>
    </row>
    <row r="601" ht="14.25" customHeight="1">
      <c r="D601" s="3"/>
    </row>
    <row r="602" ht="14.25" customHeight="1">
      <c r="D602" s="3"/>
    </row>
    <row r="603" ht="14.25" customHeight="1">
      <c r="D603" s="3"/>
    </row>
    <row r="604" ht="14.25" customHeight="1">
      <c r="D604" s="3"/>
    </row>
    <row r="605" ht="14.25" customHeight="1">
      <c r="D605" s="3"/>
    </row>
    <row r="606" ht="14.25" customHeight="1">
      <c r="D606" s="3"/>
    </row>
    <row r="607" ht="14.25" customHeight="1">
      <c r="D607" s="3"/>
    </row>
    <row r="608" ht="14.25" customHeight="1">
      <c r="D608" s="3"/>
    </row>
    <row r="609" ht="14.25" customHeight="1">
      <c r="D609" s="3"/>
    </row>
    <row r="610" ht="14.25" customHeight="1">
      <c r="D610" s="3"/>
    </row>
    <row r="611" ht="14.25" customHeight="1">
      <c r="D611" s="3"/>
    </row>
    <row r="612" ht="14.25" customHeight="1">
      <c r="D612" s="3"/>
    </row>
    <row r="613" ht="14.25" customHeight="1">
      <c r="D613" s="3"/>
    </row>
    <row r="614" ht="14.25" customHeight="1">
      <c r="D614" s="3"/>
    </row>
    <row r="615" ht="14.25" customHeight="1">
      <c r="D615" s="3"/>
    </row>
    <row r="616" ht="14.25" customHeight="1">
      <c r="D616" s="3"/>
    </row>
    <row r="617" ht="14.25" customHeight="1">
      <c r="D617" s="3"/>
    </row>
    <row r="618" ht="14.25" customHeight="1">
      <c r="D618" s="3"/>
    </row>
    <row r="619" ht="14.25" customHeight="1">
      <c r="D619" s="3"/>
    </row>
    <row r="620" ht="14.25" customHeight="1">
      <c r="D620" s="3"/>
    </row>
    <row r="621" ht="14.25" customHeight="1">
      <c r="D621" s="3"/>
    </row>
    <row r="622" ht="14.25" customHeight="1">
      <c r="D622" s="3"/>
    </row>
    <row r="623" ht="14.25" customHeight="1">
      <c r="D623" s="3"/>
    </row>
    <row r="624" ht="14.25" customHeight="1">
      <c r="D624" s="3"/>
    </row>
    <row r="625" ht="14.25" customHeight="1">
      <c r="D625" s="3"/>
    </row>
    <row r="626" ht="14.25" customHeight="1">
      <c r="D626" s="3"/>
    </row>
    <row r="627" ht="14.25" customHeight="1">
      <c r="D627" s="3"/>
    </row>
    <row r="628" ht="14.25" customHeight="1">
      <c r="D628" s="3"/>
    </row>
    <row r="629" ht="14.25" customHeight="1">
      <c r="D629" s="3"/>
    </row>
    <row r="630" ht="14.25" customHeight="1">
      <c r="D630" s="3"/>
    </row>
    <row r="631" ht="14.25" customHeight="1">
      <c r="D631" s="3"/>
    </row>
    <row r="632" ht="14.25" customHeight="1">
      <c r="D632" s="3"/>
    </row>
    <row r="633" ht="14.25" customHeight="1">
      <c r="D633" s="3"/>
    </row>
    <row r="634" ht="14.25" customHeight="1">
      <c r="D634" s="3"/>
    </row>
    <row r="635" ht="14.25" customHeight="1">
      <c r="D635" s="3"/>
    </row>
    <row r="636" ht="14.25" customHeight="1">
      <c r="D636" s="3"/>
    </row>
    <row r="637" ht="14.25" customHeight="1">
      <c r="D637" s="3"/>
    </row>
    <row r="638" ht="14.25" customHeight="1">
      <c r="D638" s="3"/>
    </row>
    <row r="639" ht="14.25" customHeight="1">
      <c r="D639" s="3"/>
    </row>
    <row r="640" ht="14.25" customHeight="1">
      <c r="D640" s="3"/>
    </row>
    <row r="641" ht="14.25" customHeight="1">
      <c r="D641" s="3"/>
    </row>
    <row r="642" ht="14.25" customHeight="1">
      <c r="D642" s="3"/>
    </row>
    <row r="643" ht="14.25" customHeight="1">
      <c r="D643" s="3"/>
    </row>
    <row r="644" ht="14.25" customHeight="1">
      <c r="D644" s="3"/>
    </row>
    <row r="645" ht="14.25" customHeight="1">
      <c r="D645" s="3"/>
    </row>
    <row r="646" ht="14.25" customHeight="1">
      <c r="D646" s="3"/>
    </row>
    <row r="647" ht="14.25" customHeight="1">
      <c r="D647" s="3"/>
    </row>
    <row r="648" ht="14.25" customHeight="1">
      <c r="D648" s="3"/>
    </row>
    <row r="649" ht="14.25" customHeight="1">
      <c r="D649" s="3"/>
    </row>
    <row r="650" ht="14.25" customHeight="1">
      <c r="D650" s="3"/>
    </row>
    <row r="651" ht="14.25" customHeight="1">
      <c r="D651" s="3"/>
    </row>
    <row r="652" ht="14.25" customHeight="1">
      <c r="D652" s="3"/>
    </row>
    <row r="653" ht="14.25" customHeight="1">
      <c r="D653" s="3"/>
    </row>
    <row r="654" ht="14.25" customHeight="1">
      <c r="D654" s="3"/>
    </row>
    <row r="655" ht="14.25" customHeight="1">
      <c r="D655" s="3"/>
    </row>
    <row r="656" ht="14.25" customHeight="1">
      <c r="D656" s="3"/>
    </row>
    <row r="657" ht="14.25" customHeight="1">
      <c r="D657" s="3"/>
    </row>
    <row r="658" ht="14.25" customHeight="1">
      <c r="D658" s="3"/>
    </row>
    <row r="659" ht="14.25" customHeight="1">
      <c r="D659" s="3"/>
    </row>
    <row r="660" ht="14.25" customHeight="1">
      <c r="D660" s="3"/>
    </row>
    <row r="661" ht="14.25" customHeight="1">
      <c r="D661" s="3"/>
    </row>
    <row r="662" ht="14.25" customHeight="1">
      <c r="D662" s="3"/>
    </row>
    <row r="663" ht="14.25" customHeight="1">
      <c r="D663" s="3"/>
    </row>
    <row r="664" ht="14.25" customHeight="1">
      <c r="D664" s="3"/>
    </row>
    <row r="665" ht="14.25" customHeight="1">
      <c r="D665" s="3"/>
    </row>
    <row r="666" ht="14.25" customHeight="1">
      <c r="D666" s="3"/>
    </row>
    <row r="667" ht="14.25" customHeight="1">
      <c r="D667" s="3"/>
    </row>
    <row r="668" ht="14.25" customHeight="1">
      <c r="D668" s="3"/>
    </row>
    <row r="669" ht="14.25" customHeight="1">
      <c r="D669" s="3"/>
    </row>
    <row r="670" ht="14.25" customHeight="1">
      <c r="D670" s="3"/>
    </row>
    <row r="671" ht="14.25" customHeight="1">
      <c r="D671" s="3"/>
    </row>
    <row r="672" ht="14.25" customHeight="1">
      <c r="D672" s="3"/>
    </row>
    <row r="673" ht="14.25" customHeight="1">
      <c r="D673" s="3"/>
    </row>
    <row r="674" ht="14.25" customHeight="1">
      <c r="D674" s="3"/>
    </row>
    <row r="675" ht="14.25" customHeight="1">
      <c r="D675" s="3"/>
    </row>
    <row r="676" ht="14.25" customHeight="1">
      <c r="D676" s="3"/>
    </row>
    <row r="677" ht="14.25" customHeight="1">
      <c r="D677" s="3"/>
    </row>
    <row r="678" ht="14.25" customHeight="1">
      <c r="D678" s="3"/>
    </row>
    <row r="679" ht="14.25" customHeight="1">
      <c r="D679" s="3"/>
    </row>
    <row r="680" ht="14.25" customHeight="1">
      <c r="D680" s="3"/>
    </row>
    <row r="681" ht="14.25" customHeight="1">
      <c r="D681" s="3"/>
    </row>
    <row r="682" ht="14.25" customHeight="1">
      <c r="D682" s="3"/>
    </row>
    <row r="683" ht="14.25" customHeight="1">
      <c r="D683" s="3"/>
    </row>
    <row r="684" ht="14.25" customHeight="1">
      <c r="D684" s="3"/>
    </row>
    <row r="685" ht="14.25" customHeight="1">
      <c r="D685" s="3"/>
    </row>
    <row r="686" ht="14.25" customHeight="1">
      <c r="D686" s="3"/>
    </row>
    <row r="687" ht="14.25" customHeight="1">
      <c r="D687" s="3"/>
    </row>
    <row r="688" ht="14.25" customHeight="1">
      <c r="D688" s="3"/>
    </row>
    <row r="689" ht="14.25" customHeight="1">
      <c r="D689" s="3"/>
    </row>
    <row r="690" ht="14.25" customHeight="1">
      <c r="D690" s="3"/>
    </row>
    <row r="691" ht="14.25" customHeight="1">
      <c r="D691" s="3"/>
    </row>
    <row r="692" ht="14.25" customHeight="1">
      <c r="D692" s="3"/>
    </row>
    <row r="693" ht="14.25" customHeight="1">
      <c r="D693" s="3"/>
    </row>
    <row r="694" ht="14.25" customHeight="1">
      <c r="D694" s="3"/>
    </row>
    <row r="695" ht="14.25" customHeight="1">
      <c r="D695" s="3"/>
    </row>
    <row r="696" ht="14.25" customHeight="1">
      <c r="D696" s="3"/>
    </row>
    <row r="697" ht="14.25" customHeight="1">
      <c r="D697" s="3"/>
    </row>
    <row r="698" ht="14.25" customHeight="1">
      <c r="D698" s="3"/>
    </row>
    <row r="699" ht="14.25" customHeight="1">
      <c r="D699" s="3"/>
    </row>
    <row r="700" ht="14.25" customHeight="1">
      <c r="D700" s="3"/>
    </row>
    <row r="701" ht="14.25" customHeight="1">
      <c r="D701" s="3"/>
    </row>
    <row r="702" ht="14.25" customHeight="1">
      <c r="D702" s="3"/>
    </row>
    <row r="703" ht="14.25" customHeight="1">
      <c r="D703" s="3"/>
    </row>
    <row r="704" ht="14.25" customHeight="1">
      <c r="D704" s="3"/>
    </row>
    <row r="705" ht="14.25" customHeight="1">
      <c r="D705" s="3"/>
    </row>
    <row r="706" ht="14.25" customHeight="1">
      <c r="D706" s="3"/>
    </row>
    <row r="707" ht="14.25" customHeight="1">
      <c r="D707" s="3"/>
    </row>
    <row r="708" ht="14.25" customHeight="1">
      <c r="D708" s="3"/>
    </row>
    <row r="709" ht="14.25" customHeight="1">
      <c r="D709" s="3"/>
    </row>
    <row r="710" ht="14.25" customHeight="1">
      <c r="D710" s="3"/>
    </row>
    <row r="711" ht="14.25" customHeight="1">
      <c r="D711" s="3"/>
    </row>
    <row r="712" ht="14.25" customHeight="1">
      <c r="D712" s="3"/>
    </row>
    <row r="713" ht="14.25" customHeight="1">
      <c r="D713" s="3"/>
    </row>
    <row r="714" ht="14.25" customHeight="1">
      <c r="D714" s="3"/>
    </row>
    <row r="715" ht="14.25" customHeight="1">
      <c r="D715" s="3"/>
    </row>
    <row r="716" ht="14.25" customHeight="1">
      <c r="D716" s="3"/>
    </row>
    <row r="717" ht="14.25" customHeight="1">
      <c r="D717" s="3"/>
    </row>
    <row r="718" ht="14.25" customHeight="1">
      <c r="D718" s="3"/>
    </row>
    <row r="719" ht="14.25" customHeight="1">
      <c r="D719" s="3"/>
    </row>
    <row r="720" ht="14.25" customHeight="1">
      <c r="D720" s="3"/>
    </row>
    <row r="721" ht="14.25" customHeight="1">
      <c r="D721" s="3"/>
    </row>
    <row r="722" ht="14.25" customHeight="1">
      <c r="D722" s="3"/>
    </row>
    <row r="723" ht="14.25" customHeight="1">
      <c r="D723" s="3"/>
    </row>
    <row r="724" ht="14.25" customHeight="1">
      <c r="D724" s="3"/>
    </row>
    <row r="725" ht="14.25" customHeight="1">
      <c r="D725" s="3"/>
    </row>
    <row r="726" ht="14.25" customHeight="1">
      <c r="D726" s="3"/>
    </row>
    <row r="727" ht="14.25" customHeight="1">
      <c r="D727" s="3"/>
    </row>
    <row r="728" ht="14.25" customHeight="1">
      <c r="D728" s="3"/>
    </row>
    <row r="729" ht="14.25" customHeight="1">
      <c r="D729" s="3"/>
    </row>
    <row r="730" ht="14.25" customHeight="1">
      <c r="D730" s="3"/>
    </row>
    <row r="731" ht="14.25" customHeight="1">
      <c r="D731" s="3"/>
    </row>
    <row r="732" ht="14.25" customHeight="1">
      <c r="D732" s="3"/>
    </row>
    <row r="733" ht="14.25" customHeight="1">
      <c r="D733" s="3"/>
    </row>
    <row r="734" ht="14.25" customHeight="1">
      <c r="D734" s="3"/>
    </row>
    <row r="735" ht="14.25" customHeight="1">
      <c r="D735" s="3"/>
    </row>
    <row r="736" ht="14.25" customHeight="1">
      <c r="D736" s="3"/>
    </row>
    <row r="737" ht="14.25" customHeight="1">
      <c r="D737" s="3"/>
    </row>
    <row r="738" ht="14.25" customHeight="1">
      <c r="D738" s="3"/>
    </row>
    <row r="739" ht="14.25" customHeight="1">
      <c r="D739" s="3"/>
    </row>
    <row r="740" ht="14.25" customHeight="1">
      <c r="D740" s="3"/>
    </row>
    <row r="741" ht="14.25" customHeight="1">
      <c r="D741" s="3"/>
    </row>
    <row r="742" ht="14.25" customHeight="1">
      <c r="D742" s="3"/>
    </row>
    <row r="743" ht="14.25" customHeight="1">
      <c r="D743" s="3"/>
    </row>
    <row r="744" ht="14.25" customHeight="1">
      <c r="D744" s="3"/>
    </row>
    <row r="745" ht="14.25" customHeight="1">
      <c r="D745" s="3"/>
    </row>
    <row r="746" ht="14.25" customHeight="1">
      <c r="D746" s="3"/>
    </row>
    <row r="747" ht="14.25" customHeight="1">
      <c r="D747" s="3"/>
    </row>
    <row r="748" ht="14.25" customHeight="1">
      <c r="D748" s="3"/>
    </row>
    <row r="749" ht="14.25" customHeight="1">
      <c r="D749" s="3"/>
    </row>
    <row r="750" ht="14.25" customHeight="1">
      <c r="D750" s="3"/>
    </row>
    <row r="751" ht="14.25" customHeight="1">
      <c r="D751" s="3"/>
    </row>
    <row r="752" ht="14.25" customHeight="1">
      <c r="D752" s="3"/>
    </row>
    <row r="753" ht="14.25" customHeight="1">
      <c r="D753" s="3"/>
    </row>
    <row r="754" ht="14.25" customHeight="1">
      <c r="D754" s="3"/>
    </row>
    <row r="755" ht="14.25" customHeight="1">
      <c r="D755" s="3"/>
    </row>
    <row r="756" ht="14.25" customHeight="1">
      <c r="D756" s="3"/>
    </row>
    <row r="757" ht="14.25" customHeight="1">
      <c r="D757" s="3"/>
    </row>
    <row r="758" ht="14.25" customHeight="1">
      <c r="D758" s="3"/>
    </row>
    <row r="759" ht="14.25" customHeight="1">
      <c r="D759" s="3"/>
    </row>
    <row r="760" ht="14.25" customHeight="1">
      <c r="D760" s="3"/>
    </row>
    <row r="761" ht="14.25" customHeight="1">
      <c r="D761" s="3"/>
    </row>
    <row r="762" ht="14.25" customHeight="1">
      <c r="D762" s="3"/>
    </row>
    <row r="763" ht="14.25" customHeight="1">
      <c r="D763" s="3"/>
    </row>
    <row r="764" ht="14.25" customHeight="1">
      <c r="D764" s="3"/>
    </row>
    <row r="765" ht="14.25" customHeight="1">
      <c r="D765" s="3"/>
    </row>
    <row r="766" ht="14.25" customHeight="1">
      <c r="D766" s="3"/>
    </row>
    <row r="767" ht="14.25" customHeight="1">
      <c r="D767" s="3"/>
    </row>
    <row r="768" ht="14.25" customHeight="1">
      <c r="D768" s="3"/>
    </row>
    <row r="769" ht="14.25" customHeight="1">
      <c r="D769" s="3"/>
    </row>
    <row r="770" ht="14.25" customHeight="1">
      <c r="D770" s="3"/>
    </row>
    <row r="771" ht="14.25" customHeight="1">
      <c r="D771" s="3"/>
    </row>
    <row r="772" ht="14.25" customHeight="1">
      <c r="D772" s="3"/>
    </row>
    <row r="773" ht="14.25" customHeight="1">
      <c r="D773" s="3"/>
    </row>
    <row r="774" ht="14.25" customHeight="1">
      <c r="D774" s="3"/>
    </row>
    <row r="775" ht="14.25" customHeight="1">
      <c r="D775" s="3"/>
    </row>
    <row r="776" ht="14.25" customHeight="1">
      <c r="D776" s="3"/>
    </row>
    <row r="777" ht="14.25" customHeight="1">
      <c r="D777" s="3"/>
    </row>
    <row r="778" ht="14.25" customHeight="1">
      <c r="D778" s="3"/>
    </row>
    <row r="779" ht="14.25" customHeight="1">
      <c r="D779" s="3"/>
    </row>
    <row r="780" ht="14.25" customHeight="1">
      <c r="D780" s="3"/>
    </row>
    <row r="781" ht="14.25" customHeight="1">
      <c r="D781" s="3"/>
    </row>
    <row r="782" ht="14.25" customHeight="1">
      <c r="D782" s="3"/>
    </row>
    <row r="783" ht="14.25" customHeight="1">
      <c r="D783" s="3"/>
    </row>
    <row r="784" ht="14.25" customHeight="1">
      <c r="D784" s="3"/>
    </row>
    <row r="785" ht="14.25" customHeight="1">
      <c r="D785" s="3"/>
    </row>
    <row r="786" ht="14.25" customHeight="1">
      <c r="D786" s="3"/>
    </row>
    <row r="787" ht="14.25" customHeight="1">
      <c r="D787" s="3"/>
    </row>
    <row r="788" ht="14.25" customHeight="1">
      <c r="D788" s="3"/>
    </row>
    <row r="789" ht="14.25" customHeight="1">
      <c r="D789" s="3"/>
    </row>
    <row r="790" ht="14.25" customHeight="1">
      <c r="D790" s="3"/>
    </row>
    <row r="791" ht="14.25" customHeight="1">
      <c r="D791" s="3"/>
    </row>
    <row r="792" ht="14.25" customHeight="1">
      <c r="D792" s="3"/>
    </row>
    <row r="793" ht="14.25" customHeight="1">
      <c r="D793" s="3"/>
    </row>
    <row r="794" ht="14.25" customHeight="1">
      <c r="D794" s="3"/>
    </row>
    <row r="795" ht="14.25" customHeight="1">
      <c r="D795" s="3"/>
    </row>
    <row r="796" ht="14.25" customHeight="1">
      <c r="D796" s="3"/>
    </row>
    <row r="797" ht="14.25" customHeight="1">
      <c r="D797" s="3"/>
    </row>
    <row r="798" ht="14.25" customHeight="1">
      <c r="D798" s="3"/>
    </row>
    <row r="799" ht="14.25" customHeight="1">
      <c r="D799" s="3"/>
    </row>
    <row r="800" ht="14.25" customHeight="1">
      <c r="D800" s="3"/>
    </row>
    <row r="801" ht="14.25" customHeight="1">
      <c r="D801" s="3"/>
    </row>
    <row r="802" ht="14.25" customHeight="1">
      <c r="D802" s="3"/>
    </row>
    <row r="803" ht="14.25" customHeight="1">
      <c r="D803" s="3"/>
    </row>
    <row r="804" ht="14.25" customHeight="1">
      <c r="D804" s="3"/>
    </row>
    <row r="805" ht="14.25" customHeight="1">
      <c r="D805" s="3"/>
    </row>
    <row r="806" ht="14.25" customHeight="1">
      <c r="D806" s="3"/>
    </row>
    <row r="807" ht="14.25" customHeight="1">
      <c r="D807" s="3"/>
    </row>
    <row r="808" ht="14.25" customHeight="1">
      <c r="D808" s="3"/>
    </row>
    <row r="809" ht="14.25" customHeight="1">
      <c r="D809" s="3"/>
    </row>
    <row r="810" ht="14.25" customHeight="1">
      <c r="D810" s="3"/>
    </row>
    <row r="811" ht="14.25" customHeight="1">
      <c r="D811" s="3"/>
    </row>
    <row r="812" ht="14.25" customHeight="1">
      <c r="D812" s="3"/>
    </row>
    <row r="813" ht="14.25" customHeight="1">
      <c r="D813" s="3"/>
    </row>
    <row r="814" ht="14.25" customHeight="1">
      <c r="D814" s="3"/>
    </row>
    <row r="815" ht="14.25" customHeight="1">
      <c r="D815" s="3"/>
    </row>
    <row r="816" ht="14.25" customHeight="1">
      <c r="D816" s="3"/>
    </row>
    <row r="817" ht="14.25" customHeight="1">
      <c r="D817" s="3"/>
    </row>
    <row r="818" ht="14.25" customHeight="1">
      <c r="D818" s="3"/>
    </row>
    <row r="819" ht="14.25" customHeight="1">
      <c r="D819" s="3"/>
    </row>
    <row r="820" ht="14.25" customHeight="1">
      <c r="D820" s="3"/>
    </row>
    <row r="821" ht="14.25" customHeight="1">
      <c r="D821" s="3"/>
    </row>
    <row r="822" ht="14.25" customHeight="1">
      <c r="D822" s="3"/>
    </row>
    <row r="823" ht="14.25" customHeight="1">
      <c r="D823" s="3"/>
    </row>
    <row r="824" ht="14.25" customHeight="1">
      <c r="D824" s="3"/>
    </row>
    <row r="825" ht="14.25" customHeight="1">
      <c r="D825" s="3"/>
    </row>
    <row r="826" ht="14.25" customHeight="1">
      <c r="D826" s="3"/>
    </row>
    <row r="827" ht="14.25" customHeight="1">
      <c r="D827" s="3"/>
    </row>
    <row r="828" ht="14.25" customHeight="1">
      <c r="D828" s="3"/>
    </row>
    <row r="829" ht="14.25" customHeight="1">
      <c r="D829" s="3"/>
    </row>
    <row r="830" ht="14.25" customHeight="1">
      <c r="D830" s="3"/>
    </row>
    <row r="831" ht="14.25" customHeight="1">
      <c r="D831" s="3"/>
    </row>
    <row r="832" ht="14.25" customHeight="1">
      <c r="D832" s="3"/>
    </row>
    <row r="833" ht="14.25" customHeight="1">
      <c r="D833" s="3"/>
    </row>
    <row r="834" ht="14.25" customHeight="1">
      <c r="D834" s="3"/>
    </row>
    <row r="835" ht="14.25" customHeight="1">
      <c r="D835" s="3"/>
    </row>
    <row r="836" ht="14.25" customHeight="1">
      <c r="D836" s="3"/>
    </row>
    <row r="837" ht="14.25" customHeight="1">
      <c r="D837" s="3"/>
    </row>
    <row r="838" ht="14.25" customHeight="1">
      <c r="D838" s="3"/>
    </row>
    <row r="839" ht="14.25" customHeight="1">
      <c r="D839" s="3"/>
    </row>
    <row r="840" ht="14.25" customHeight="1">
      <c r="D840" s="3"/>
    </row>
    <row r="841" ht="14.25" customHeight="1">
      <c r="D841" s="3"/>
    </row>
    <row r="842" ht="14.25" customHeight="1">
      <c r="D842" s="3"/>
    </row>
    <row r="843" ht="14.25" customHeight="1">
      <c r="D843" s="3"/>
    </row>
    <row r="844" ht="14.25" customHeight="1">
      <c r="D844" s="3"/>
    </row>
    <row r="845" ht="14.25" customHeight="1">
      <c r="D845" s="3"/>
    </row>
    <row r="846" ht="14.25" customHeight="1">
      <c r="D846" s="3"/>
    </row>
    <row r="847" ht="14.25" customHeight="1">
      <c r="D847" s="3"/>
    </row>
    <row r="848" ht="14.25" customHeight="1">
      <c r="D848" s="3"/>
    </row>
    <row r="849" ht="14.25" customHeight="1">
      <c r="D849" s="3"/>
    </row>
    <row r="850" ht="14.25" customHeight="1">
      <c r="D850" s="3"/>
    </row>
    <row r="851" ht="14.25" customHeight="1">
      <c r="D851" s="3"/>
    </row>
    <row r="852" ht="14.25" customHeight="1">
      <c r="D852" s="3"/>
    </row>
    <row r="853" ht="14.25" customHeight="1">
      <c r="D853" s="3"/>
    </row>
    <row r="854" ht="14.25" customHeight="1">
      <c r="D854" s="3"/>
    </row>
    <row r="855" ht="14.25" customHeight="1">
      <c r="D855" s="3"/>
    </row>
    <row r="856" ht="14.25" customHeight="1">
      <c r="D856" s="3"/>
    </row>
    <row r="857" ht="14.25" customHeight="1">
      <c r="D857" s="3"/>
    </row>
    <row r="858" ht="14.25" customHeight="1">
      <c r="D858" s="3"/>
    </row>
    <row r="859" ht="14.25" customHeight="1">
      <c r="D859" s="3"/>
    </row>
    <row r="860" ht="14.25" customHeight="1">
      <c r="D860" s="3"/>
    </row>
    <row r="861" ht="14.25" customHeight="1">
      <c r="D861" s="3"/>
    </row>
    <row r="862" ht="14.25" customHeight="1">
      <c r="D862" s="3"/>
    </row>
    <row r="863" ht="14.25" customHeight="1">
      <c r="D863" s="3"/>
    </row>
    <row r="864" ht="14.25" customHeight="1">
      <c r="D864" s="3"/>
    </row>
    <row r="865" ht="14.25" customHeight="1">
      <c r="D865" s="3"/>
    </row>
    <row r="866" ht="14.25" customHeight="1">
      <c r="D866" s="3"/>
    </row>
    <row r="867" ht="14.25" customHeight="1">
      <c r="D867" s="3"/>
    </row>
    <row r="868" ht="14.25" customHeight="1">
      <c r="D868" s="3"/>
    </row>
    <row r="869" ht="14.25" customHeight="1">
      <c r="D869" s="3"/>
    </row>
    <row r="870" ht="14.25" customHeight="1">
      <c r="D870" s="3"/>
    </row>
    <row r="871" ht="14.25" customHeight="1">
      <c r="D871" s="3"/>
    </row>
    <row r="872" ht="14.25" customHeight="1">
      <c r="D872" s="3"/>
    </row>
    <row r="873" ht="14.25" customHeight="1">
      <c r="D873" s="3"/>
    </row>
    <row r="874" ht="14.25" customHeight="1">
      <c r="D874" s="3"/>
    </row>
    <row r="875" ht="14.25" customHeight="1">
      <c r="D875" s="3"/>
    </row>
    <row r="876" ht="14.25" customHeight="1">
      <c r="D876" s="3"/>
    </row>
    <row r="877" ht="14.25" customHeight="1">
      <c r="D877" s="3"/>
    </row>
    <row r="878" ht="14.25" customHeight="1">
      <c r="D878" s="3"/>
    </row>
    <row r="879" ht="14.25" customHeight="1">
      <c r="D879" s="3"/>
    </row>
    <row r="880" ht="14.25" customHeight="1">
      <c r="D880" s="3"/>
    </row>
    <row r="881" ht="14.25" customHeight="1">
      <c r="D881" s="3"/>
    </row>
    <row r="882" ht="14.25" customHeight="1">
      <c r="D882" s="3"/>
    </row>
    <row r="883" ht="14.25" customHeight="1">
      <c r="D883" s="3"/>
    </row>
    <row r="884" ht="14.25" customHeight="1">
      <c r="D884" s="3"/>
    </row>
    <row r="885" ht="14.25" customHeight="1">
      <c r="D885" s="3"/>
    </row>
    <row r="886" ht="14.25" customHeight="1">
      <c r="D886" s="3"/>
    </row>
    <row r="887" ht="14.25" customHeight="1">
      <c r="D887" s="3"/>
    </row>
    <row r="888" ht="14.25" customHeight="1">
      <c r="D888" s="3"/>
    </row>
    <row r="889" ht="14.25" customHeight="1">
      <c r="D889" s="3"/>
    </row>
    <row r="890" ht="14.25" customHeight="1">
      <c r="D890" s="3"/>
    </row>
    <row r="891" ht="14.25" customHeight="1">
      <c r="D891" s="3"/>
    </row>
    <row r="892" ht="14.25" customHeight="1">
      <c r="D892" s="3"/>
    </row>
    <row r="893" ht="14.25" customHeight="1">
      <c r="D893" s="3"/>
    </row>
    <row r="894" ht="14.25" customHeight="1">
      <c r="D894" s="3"/>
    </row>
    <row r="895" ht="14.25" customHeight="1">
      <c r="D895" s="3"/>
    </row>
    <row r="896" ht="14.25" customHeight="1">
      <c r="D896" s="3"/>
    </row>
    <row r="897" ht="14.25" customHeight="1">
      <c r="D897" s="3"/>
    </row>
    <row r="898" ht="14.25" customHeight="1">
      <c r="D898" s="3"/>
    </row>
    <row r="899" ht="14.25" customHeight="1">
      <c r="D899" s="3"/>
    </row>
    <row r="900" ht="14.25" customHeight="1">
      <c r="D900" s="3"/>
    </row>
    <row r="901" ht="14.25" customHeight="1">
      <c r="D901" s="3"/>
    </row>
    <row r="902" ht="14.25" customHeight="1">
      <c r="D902" s="3"/>
    </row>
    <row r="903" ht="14.25" customHeight="1">
      <c r="D903" s="3"/>
    </row>
    <row r="904" ht="14.25" customHeight="1">
      <c r="D904" s="3"/>
    </row>
    <row r="905" ht="14.25" customHeight="1">
      <c r="D905" s="3"/>
    </row>
    <row r="906" ht="14.25" customHeight="1">
      <c r="D906" s="3"/>
    </row>
    <row r="907" ht="14.25" customHeight="1">
      <c r="D907" s="3"/>
    </row>
    <row r="908" ht="14.25" customHeight="1">
      <c r="D908" s="3"/>
    </row>
    <row r="909" ht="14.25" customHeight="1">
      <c r="D909" s="3"/>
    </row>
    <row r="910" ht="14.25" customHeight="1">
      <c r="D910" s="3"/>
    </row>
    <row r="911" ht="14.25" customHeight="1">
      <c r="D911" s="3"/>
    </row>
    <row r="912" ht="14.25" customHeight="1">
      <c r="D912" s="3"/>
    </row>
    <row r="913" ht="14.25" customHeight="1">
      <c r="D913" s="3"/>
    </row>
    <row r="914" ht="14.25" customHeight="1">
      <c r="D914" s="3"/>
    </row>
    <row r="915" ht="14.25" customHeight="1">
      <c r="D915" s="3"/>
    </row>
    <row r="916" ht="14.25" customHeight="1">
      <c r="D916" s="3"/>
    </row>
    <row r="917" ht="14.25" customHeight="1">
      <c r="D917" s="3"/>
    </row>
    <row r="918" ht="14.25" customHeight="1">
      <c r="D918" s="3"/>
    </row>
    <row r="919" ht="14.25" customHeight="1">
      <c r="D919" s="3"/>
    </row>
    <row r="920" ht="14.25" customHeight="1">
      <c r="D920" s="3"/>
    </row>
    <row r="921" ht="14.25" customHeight="1">
      <c r="D921" s="3"/>
    </row>
    <row r="922" ht="14.25" customHeight="1">
      <c r="D922" s="3"/>
    </row>
    <row r="923" ht="14.25" customHeight="1">
      <c r="D923" s="3"/>
    </row>
    <row r="924" ht="14.25" customHeight="1">
      <c r="D924" s="3"/>
    </row>
    <row r="925" ht="14.25" customHeight="1">
      <c r="D925" s="3"/>
    </row>
    <row r="926" ht="14.25" customHeight="1">
      <c r="D926" s="3"/>
    </row>
    <row r="927" ht="14.25" customHeight="1">
      <c r="D927" s="3"/>
    </row>
    <row r="928" ht="14.25" customHeight="1">
      <c r="D928" s="3"/>
    </row>
    <row r="929" ht="14.25" customHeight="1">
      <c r="D929" s="3"/>
    </row>
    <row r="930" ht="14.25" customHeight="1">
      <c r="D930" s="3"/>
    </row>
    <row r="931" ht="14.25" customHeight="1">
      <c r="D931" s="3"/>
    </row>
    <row r="932" ht="14.25" customHeight="1">
      <c r="D932" s="3"/>
    </row>
    <row r="933" ht="14.25" customHeight="1">
      <c r="D933" s="3"/>
    </row>
    <row r="934" ht="14.25" customHeight="1">
      <c r="D934" s="3"/>
    </row>
    <row r="935" ht="14.25" customHeight="1">
      <c r="D935" s="3"/>
    </row>
    <row r="936" ht="14.25" customHeight="1">
      <c r="D936" s="3"/>
    </row>
    <row r="937" ht="14.25" customHeight="1">
      <c r="D937" s="3"/>
    </row>
    <row r="938" ht="14.25" customHeight="1">
      <c r="D938" s="3"/>
    </row>
    <row r="939" ht="14.25" customHeight="1">
      <c r="D939" s="3"/>
    </row>
    <row r="940" ht="14.25" customHeight="1">
      <c r="D940" s="3"/>
    </row>
    <row r="941" ht="14.25" customHeight="1">
      <c r="D941" s="3"/>
    </row>
    <row r="942" ht="14.25" customHeight="1">
      <c r="D942" s="3"/>
    </row>
    <row r="943" ht="14.25" customHeight="1">
      <c r="D943" s="3"/>
    </row>
    <row r="944" ht="14.25" customHeight="1">
      <c r="D944" s="3"/>
    </row>
    <row r="945" ht="14.25" customHeight="1">
      <c r="D945" s="3"/>
    </row>
    <row r="946" ht="14.25" customHeight="1">
      <c r="D946" s="3"/>
    </row>
    <row r="947" ht="14.25" customHeight="1">
      <c r="D947" s="3"/>
    </row>
    <row r="948" ht="14.25" customHeight="1">
      <c r="D948" s="3"/>
    </row>
    <row r="949" ht="14.25" customHeight="1">
      <c r="D949" s="3"/>
    </row>
    <row r="950" ht="14.25" customHeight="1">
      <c r="D950" s="3"/>
    </row>
    <row r="951" ht="14.25" customHeight="1">
      <c r="D951" s="3"/>
    </row>
    <row r="952" ht="14.25" customHeight="1">
      <c r="D952" s="3"/>
    </row>
    <row r="953" ht="14.25" customHeight="1">
      <c r="D953" s="3"/>
    </row>
    <row r="954" ht="14.25" customHeight="1">
      <c r="D954" s="3"/>
    </row>
    <row r="955" ht="14.25" customHeight="1">
      <c r="D955" s="3"/>
    </row>
    <row r="956" ht="14.25" customHeight="1">
      <c r="D956" s="3"/>
    </row>
    <row r="957" ht="14.25" customHeight="1">
      <c r="D957" s="3"/>
    </row>
    <row r="958" ht="14.25" customHeight="1">
      <c r="D958" s="3"/>
    </row>
    <row r="959" ht="14.25" customHeight="1">
      <c r="D959" s="3"/>
    </row>
    <row r="960" ht="14.25" customHeight="1">
      <c r="D960" s="3"/>
    </row>
    <row r="961" ht="14.25" customHeight="1">
      <c r="D961" s="3"/>
    </row>
    <row r="962" ht="14.25" customHeight="1">
      <c r="D962" s="3"/>
    </row>
    <row r="963" ht="14.25" customHeight="1">
      <c r="D963" s="3"/>
    </row>
    <row r="964" ht="14.25" customHeight="1">
      <c r="D964" s="3"/>
    </row>
    <row r="965" ht="14.25" customHeight="1">
      <c r="D965" s="3"/>
    </row>
    <row r="966" ht="14.25" customHeight="1">
      <c r="D966" s="3"/>
    </row>
    <row r="967" ht="14.25" customHeight="1">
      <c r="D967" s="3"/>
    </row>
    <row r="968" ht="14.25" customHeight="1">
      <c r="D968" s="3"/>
    </row>
    <row r="969" ht="14.25" customHeight="1">
      <c r="D969" s="3"/>
    </row>
    <row r="970" ht="14.25" customHeight="1">
      <c r="D970" s="3"/>
    </row>
    <row r="971" ht="14.25" customHeight="1">
      <c r="D971" s="3"/>
    </row>
    <row r="972" ht="14.25" customHeight="1">
      <c r="D972" s="3"/>
    </row>
    <row r="973" ht="14.25" customHeight="1">
      <c r="D973" s="3"/>
    </row>
    <row r="974" ht="14.25" customHeight="1">
      <c r="D974" s="3"/>
    </row>
    <row r="975" ht="14.25" customHeight="1">
      <c r="D975" s="3"/>
    </row>
    <row r="976" ht="14.25" customHeight="1">
      <c r="D976" s="3"/>
    </row>
    <row r="977" ht="14.25" customHeight="1">
      <c r="D977" s="3"/>
    </row>
    <row r="978" ht="14.25" customHeight="1">
      <c r="D978" s="3"/>
    </row>
    <row r="979" ht="14.25" customHeight="1">
      <c r="D979" s="3"/>
    </row>
    <row r="980" ht="14.25" customHeight="1">
      <c r="D980" s="3"/>
    </row>
    <row r="981" ht="14.25" customHeight="1">
      <c r="D981" s="3"/>
    </row>
    <row r="982" ht="14.25" customHeight="1">
      <c r="D982" s="3"/>
    </row>
    <row r="983" ht="14.25" customHeight="1">
      <c r="D983" s="3"/>
    </row>
    <row r="984" ht="14.25" customHeight="1">
      <c r="D984" s="3"/>
    </row>
    <row r="985" ht="14.25" customHeight="1">
      <c r="D985" s="3"/>
    </row>
    <row r="986" ht="14.25" customHeight="1">
      <c r="D986" s="3"/>
    </row>
    <row r="987" ht="14.25" customHeight="1">
      <c r="D987" s="3"/>
    </row>
    <row r="988" ht="14.25" customHeight="1">
      <c r="D988" s="3"/>
    </row>
    <row r="989" ht="14.25" customHeight="1">
      <c r="D989" s="3"/>
    </row>
    <row r="990" ht="14.25" customHeight="1">
      <c r="D990" s="3"/>
    </row>
    <row r="991" ht="14.25" customHeight="1">
      <c r="D991" s="3"/>
    </row>
    <row r="992" ht="14.25" customHeight="1">
      <c r="D992" s="3"/>
    </row>
    <row r="993" ht="14.25" customHeight="1">
      <c r="D993" s="3"/>
    </row>
    <row r="994" ht="14.25" customHeight="1">
      <c r="D994" s="3"/>
    </row>
    <row r="995" ht="14.25" customHeight="1">
      <c r="D995" s="3"/>
    </row>
    <row r="996" ht="14.25" customHeight="1">
      <c r="D996" s="3"/>
    </row>
    <row r="997" ht="14.25" customHeight="1">
      <c r="D997" s="3"/>
    </row>
    <row r="998" ht="14.25" customHeight="1">
      <c r="D998" s="3"/>
    </row>
    <row r="999" ht="14.25" customHeight="1">
      <c r="D999" s="3"/>
    </row>
  </sheetData>
  <mergeCells count="2">
    <mergeCell ref="O1:Q1"/>
    <mergeCell ref="R1:U1"/>
  </mergeCells>
  <hyperlinks>
    <hyperlink r:id="rId1" ref="H3"/>
    <hyperlink r:id="rId2" ref="Y3"/>
    <hyperlink r:id="rId3" ref="Y4"/>
    <hyperlink r:id="rId4" ref="H5"/>
    <hyperlink r:id="rId5" ref="W5"/>
    <hyperlink r:id="rId6" ref="H6"/>
    <hyperlink r:id="rId7" ref="W6"/>
    <hyperlink r:id="rId8" ref="Y6"/>
    <hyperlink r:id="rId9" ref="W7"/>
    <hyperlink r:id="rId10" ref="H8"/>
    <hyperlink r:id="rId11" ref="W8"/>
    <hyperlink r:id="rId12" ref="H9"/>
    <hyperlink r:id="rId13" ref="Y9"/>
    <hyperlink r:id="rId14" ref="H10"/>
    <hyperlink r:id="rId15" ref="H12"/>
    <hyperlink r:id="rId16" ref="W12"/>
    <hyperlink r:id="rId17" ref="H15"/>
    <hyperlink r:id="rId18" ref="H16"/>
    <hyperlink r:id="rId19" ref="H18"/>
    <hyperlink r:id="rId20" ref="W18"/>
    <hyperlink r:id="rId21" ref="Y18"/>
    <hyperlink r:id="rId22" ref="H19"/>
    <hyperlink r:id="rId23" ref="H20"/>
    <hyperlink r:id="rId24" ref="H22"/>
    <hyperlink r:id="rId25" ref="W22"/>
    <hyperlink r:id="rId26" ref="H24"/>
    <hyperlink r:id="rId27" ref="W24"/>
    <hyperlink r:id="rId28" ref="H25"/>
    <hyperlink r:id="rId29" ref="H26"/>
    <hyperlink r:id="rId30" ref="W26"/>
    <hyperlink r:id="rId31" ref="H27"/>
    <hyperlink r:id="rId32" location="gid=1121030019" ref="W27"/>
    <hyperlink r:id="rId33" ref="H28"/>
    <hyperlink r:id="rId34" ref="W28"/>
    <hyperlink r:id="rId35" ref="H30"/>
    <hyperlink r:id="rId36" ref="Y32"/>
    <hyperlink r:id="rId37" ref="H33"/>
    <hyperlink r:id="rId38" ref="H34"/>
    <hyperlink r:id="rId39" ref="W34"/>
    <hyperlink r:id="rId40" ref="H37"/>
    <hyperlink r:id="rId41" ref="X37"/>
    <hyperlink r:id="rId42" ref="Y37"/>
    <hyperlink r:id="rId43" ref="H38"/>
    <hyperlink r:id="rId44" ref="W38"/>
    <hyperlink r:id="rId45" ref="X38"/>
    <hyperlink r:id="rId46" ref="H39"/>
    <hyperlink r:id="rId47" ref="W39"/>
    <hyperlink r:id="rId48" ref="Y39"/>
    <hyperlink r:id="rId49" ref="H40"/>
    <hyperlink r:id="rId50" ref="W40"/>
    <hyperlink r:id="rId51" ref="X40"/>
    <hyperlink r:id="rId52" ref="H41"/>
    <hyperlink r:id="rId53" ref="H42"/>
    <hyperlink r:id="rId54" ref="W42"/>
    <hyperlink r:id="rId55" ref="H44"/>
    <hyperlink r:id="rId56" ref="W44"/>
    <hyperlink r:id="rId57" ref="X44"/>
    <hyperlink r:id="rId58" ref="Y47"/>
    <hyperlink r:id="rId59" ref="H48"/>
    <hyperlink r:id="rId60" ref="X48"/>
    <hyperlink r:id="rId61" ref="H49"/>
    <hyperlink r:id="rId62" ref="W49"/>
    <hyperlink r:id="rId63" ref="H51"/>
    <hyperlink r:id="rId64" ref="X51"/>
    <hyperlink r:id="rId65" ref="X55"/>
    <hyperlink r:id="rId66" ref="H56"/>
    <hyperlink r:id="rId67" ref="X56"/>
    <hyperlink r:id="rId68" ref="H58"/>
    <hyperlink r:id="rId69" ref="W58"/>
    <hyperlink r:id="rId70" ref="X58"/>
    <hyperlink r:id="rId71" ref="H59"/>
    <hyperlink r:id="rId72" ref="W59"/>
    <hyperlink r:id="rId73" ref="H61"/>
    <hyperlink r:id="rId74" ref="H62"/>
    <hyperlink r:id="rId75" ref="W62"/>
    <hyperlink r:id="rId76" ref="Y62"/>
    <hyperlink r:id="rId77" ref="H66"/>
    <hyperlink r:id="rId78" ref="H68"/>
    <hyperlink r:id="rId79" ref="X68"/>
    <hyperlink r:id="rId80" ref="H69"/>
    <hyperlink r:id="rId81" ref="W69"/>
    <hyperlink r:id="rId82" ref="X69"/>
    <hyperlink r:id="rId83" ref="H70"/>
    <hyperlink r:id="rId84" ref="W70"/>
    <hyperlink r:id="rId85" ref="X70"/>
    <hyperlink r:id="rId86" ref="H71"/>
    <hyperlink r:id="rId87" ref="X71"/>
    <hyperlink r:id="rId88" ref="H72"/>
    <hyperlink r:id="rId89" ref="W72"/>
    <hyperlink r:id="rId90" ref="X72"/>
    <hyperlink r:id="rId91" ref="H75"/>
    <hyperlink r:id="rId92" ref="W75"/>
    <hyperlink r:id="rId93" ref="H77"/>
    <hyperlink r:id="rId94" ref="W77"/>
    <hyperlink r:id="rId95" ref="X77"/>
    <hyperlink r:id="rId96" ref="H81"/>
    <hyperlink r:id="rId97" ref="W81"/>
    <hyperlink r:id="rId98" ref="H82"/>
    <hyperlink r:id="rId99" ref="W82"/>
    <hyperlink r:id="rId100" ref="H83"/>
    <hyperlink r:id="rId101" ref="H84"/>
    <hyperlink r:id="rId102" ref="X84"/>
    <hyperlink r:id="rId103" ref="H86"/>
    <hyperlink r:id="rId104" ref="H93"/>
    <hyperlink r:id="rId105" ref="X93"/>
    <hyperlink r:id="rId106" ref="H95"/>
    <hyperlink r:id="rId107" ref="X95"/>
    <hyperlink r:id="rId108" ref="H97"/>
    <hyperlink r:id="rId109" ref="H98"/>
    <hyperlink r:id="rId110" ref="Y98"/>
    <hyperlink r:id="rId111" ref="H99"/>
    <hyperlink r:id="rId112" ref="Y99"/>
    <hyperlink r:id="rId113" ref="Y100"/>
    <hyperlink r:id="rId114" ref="H103"/>
    <hyperlink r:id="rId115" ref="H105"/>
    <hyperlink r:id="rId116" ref="H109"/>
    <hyperlink r:id="rId117" ref="H111"/>
    <hyperlink r:id="rId118" ref="H112"/>
    <hyperlink r:id="rId119" ref="H113"/>
    <hyperlink r:id="rId120" ref="X113"/>
    <hyperlink r:id="rId121" ref="H124"/>
    <hyperlink r:id="rId122" ref="H130"/>
    <hyperlink r:id="rId123" ref="H131"/>
    <hyperlink r:id="rId124" ref="H132"/>
    <hyperlink r:id="rId125" ref="H137"/>
    <hyperlink r:id="rId126" ref="H140"/>
    <hyperlink r:id="rId127" ref="H145"/>
    <hyperlink r:id="rId128" ref="X145"/>
    <hyperlink r:id="rId129" ref="H146"/>
    <hyperlink r:id="rId130" ref="H147"/>
    <hyperlink r:id="rId131" ref="H148"/>
    <hyperlink r:id="rId132" ref="H149"/>
    <hyperlink r:id="rId133" ref="X149"/>
    <hyperlink r:id="rId134" ref="H154"/>
    <hyperlink r:id="rId135" ref="H157"/>
    <hyperlink r:id="rId136" ref="H158"/>
    <hyperlink r:id="rId137" ref="H159"/>
    <hyperlink r:id="rId138" ref="H160"/>
    <hyperlink r:id="rId139" ref="H163"/>
    <hyperlink r:id="rId140" ref="H168"/>
    <hyperlink r:id="rId141" ref="H171"/>
    <hyperlink r:id="rId142" ref="H172"/>
    <hyperlink r:id="rId143" ref="H176"/>
    <hyperlink r:id="rId144" ref="X176"/>
    <hyperlink r:id="rId145" ref="H177"/>
    <hyperlink r:id="rId146" ref="X177"/>
    <hyperlink r:id="rId147" ref="H179"/>
    <hyperlink r:id="rId148" ref="X179"/>
    <hyperlink r:id="rId149" ref="H183"/>
    <hyperlink r:id="rId150" ref="H185"/>
    <hyperlink r:id="rId151" ref="X185"/>
    <hyperlink r:id="rId152" ref="H187"/>
    <hyperlink r:id="rId153" ref="H188"/>
    <hyperlink r:id="rId154" ref="H191"/>
    <hyperlink r:id="rId155" ref="X191"/>
    <hyperlink r:id="rId156" ref="H193"/>
    <hyperlink r:id="rId157" ref="X193"/>
    <hyperlink r:id="rId158" ref="H195"/>
    <hyperlink r:id="rId159" ref="H199"/>
    <hyperlink r:id="rId160" ref="W205"/>
    <hyperlink r:id="rId161" ref="W206"/>
    <hyperlink r:id="rId162" ref="X206"/>
    <hyperlink r:id="rId163" ref="H207"/>
    <hyperlink r:id="rId164" ref="X207"/>
    <hyperlink r:id="rId165" ref="H210"/>
    <hyperlink r:id="rId166" ref="H214"/>
  </hyperlinks>
  <drawing r:id="rId16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2.38"/>
    <col customWidth="1" min="3" max="3" width="16.63"/>
    <col customWidth="1" min="4" max="4" width="26.0"/>
    <col customWidth="1" min="5" max="5" width="19.25"/>
    <col customWidth="1" min="6" max="6" width="16.63"/>
    <col customWidth="1" min="7" max="8" width="32.38"/>
    <col customWidth="1" min="9" max="9" width="27.63"/>
    <col customWidth="1" min="10" max="10" width="23.25"/>
  </cols>
  <sheetData>
    <row r="1">
      <c r="A1" s="1" t="s">
        <v>1</v>
      </c>
      <c r="B1" s="32" t="s">
        <v>3</v>
      </c>
      <c r="C1" s="33" t="s">
        <v>6</v>
      </c>
      <c r="D1" s="1" t="s">
        <v>9</v>
      </c>
      <c r="E1" s="24" t="s">
        <v>740</v>
      </c>
      <c r="F1" s="24" t="s">
        <v>741</v>
      </c>
      <c r="G1" s="24" t="s">
        <v>742</v>
      </c>
      <c r="H1" s="24" t="s">
        <v>743</v>
      </c>
      <c r="I1" s="24" t="s">
        <v>744</v>
      </c>
      <c r="J1" s="24" t="s">
        <v>745</v>
      </c>
    </row>
    <row r="2">
      <c r="A2" s="34" t="s">
        <v>15</v>
      </c>
      <c r="B2" s="35">
        <v>2.562E11</v>
      </c>
      <c r="C2" s="35">
        <f>VLOOKUP(A2,Calculations!$B$3:$K$216,10,FALSE)</f>
        <v>101500000</v>
      </c>
      <c r="D2" s="34"/>
      <c r="E2" s="36">
        <v>1.015E8</v>
      </c>
      <c r="F2" s="37">
        <f t="shared" ref="F2:F213" si="1">IF(E2="","",E2/B2)</f>
        <v>0.0003961748634</v>
      </c>
      <c r="G2" s="36">
        <f>IF(F2="",B2*Summary!$C$22,E2)</f>
        <v>101500000</v>
      </c>
      <c r="H2" s="34">
        <f t="shared" ref="H2:H213" si="2">IF(E2&gt;0,1,0)</f>
        <v>1</v>
      </c>
      <c r="I2" s="34">
        <f t="shared" ref="I2:I213" si="3">IF(AND(C2&gt;0, D2=0), 1, 0)
</f>
        <v>1</v>
      </c>
      <c r="J2" s="34">
        <f t="shared" ref="J2:J213" si="4">IF(D2&gt;0,1,0)</f>
        <v>0</v>
      </c>
    </row>
    <row r="3">
      <c r="A3" s="34" t="s">
        <v>28</v>
      </c>
      <c r="B3" s="35">
        <v>2.364E11</v>
      </c>
      <c r="C3" s="35">
        <v>3.5E7</v>
      </c>
      <c r="D3" s="34"/>
      <c r="E3" s="36">
        <v>3.5E7</v>
      </c>
      <c r="F3" s="37">
        <f t="shared" si="1"/>
        <v>0.0001480541455</v>
      </c>
      <c r="G3" s="36">
        <f>IF(F3="",B3*Summary!$C$22,E3)</f>
        <v>35000000</v>
      </c>
      <c r="H3" s="34">
        <f t="shared" si="2"/>
        <v>1</v>
      </c>
      <c r="I3" s="34">
        <f t="shared" si="3"/>
        <v>1</v>
      </c>
      <c r="J3" s="34">
        <f t="shared" si="4"/>
        <v>0</v>
      </c>
    </row>
    <row r="4">
      <c r="A4" s="34" t="s">
        <v>32</v>
      </c>
      <c r="B4" s="35">
        <v>2.251E11</v>
      </c>
      <c r="C4" s="35">
        <v>1.12E8</v>
      </c>
      <c r="D4" s="36">
        <v>3.0E8</v>
      </c>
      <c r="E4" s="36">
        <v>3.0E8</v>
      </c>
      <c r="F4" s="37">
        <f t="shared" si="1"/>
        <v>0.001332741004</v>
      </c>
      <c r="G4" s="36">
        <f>IF(F4="",B4*Summary!$C$22,E4)</f>
        <v>300000000</v>
      </c>
      <c r="H4" s="34">
        <f t="shared" si="2"/>
        <v>1</v>
      </c>
      <c r="I4" s="34">
        <f t="shared" si="3"/>
        <v>0</v>
      </c>
      <c r="J4" s="34">
        <f t="shared" si="4"/>
        <v>1</v>
      </c>
    </row>
    <row r="5">
      <c r="A5" s="34" t="s">
        <v>39</v>
      </c>
      <c r="B5" s="35">
        <v>1.626E11</v>
      </c>
      <c r="C5" s="35">
        <v>6900000.0</v>
      </c>
      <c r="D5" s="36">
        <v>5.24E7</v>
      </c>
      <c r="E5" s="36">
        <v>5.24E7</v>
      </c>
      <c r="F5" s="37">
        <f t="shared" si="1"/>
        <v>0.0003222632226</v>
      </c>
      <c r="G5" s="36">
        <f>IF(F5="",B5*Summary!$C$22,E5)</f>
        <v>52400000</v>
      </c>
      <c r="H5" s="34">
        <f t="shared" si="2"/>
        <v>1</v>
      </c>
      <c r="I5" s="34">
        <f t="shared" si="3"/>
        <v>0</v>
      </c>
      <c r="J5" s="34">
        <f t="shared" si="4"/>
        <v>1</v>
      </c>
    </row>
    <row r="6">
      <c r="A6" s="34" t="s">
        <v>45</v>
      </c>
      <c r="B6" s="35">
        <v>3.56E10</v>
      </c>
      <c r="C6" s="35">
        <v>1.1E8</v>
      </c>
      <c r="D6" s="36">
        <v>6.0E8</v>
      </c>
      <c r="E6" s="36">
        <v>6.0E8</v>
      </c>
      <c r="F6" s="37">
        <f t="shared" si="1"/>
        <v>0.01685393258</v>
      </c>
      <c r="G6" s="36">
        <f>IF(F6="",B6*Summary!$C$22,E6)</f>
        <v>600000000</v>
      </c>
      <c r="H6" s="34">
        <f t="shared" si="2"/>
        <v>1</v>
      </c>
      <c r="I6" s="34">
        <f t="shared" si="3"/>
        <v>0</v>
      </c>
      <c r="J6" s="34">
        <f t="shared" si="4"/>
        <v>1</v>
      </c>
    </row>
    <row r="7">
      <c r="A7" s="34" t="s">
        <v>50</v>
      </c>
      <c r="B7" s="35">
        <v>3.2E10</v>
      </c>
      <c r="C7" s="35">
        <v>2.015E7</v>
      </c>
      <c r="D7" s="36">
        <v>2.015E7</v>
      </c>
      <c r="E7" s="36">
        <v>2.015E7</v>
      </c>
      <c r="F7" s="37">
        <f t="shared" si="1"/>
        <v>0.0006296875</v>
      </c>
      <c r="G7" s="36">
        <f>IF(F7="",B7*Summary!$C$22,E7)</f>
        <v>20150000</v>
      </c>
      <c r="H7" s="34">
        <f t="shared" si="2"/>
        <v>1</v>
      </c>
      <c r="I7" s="34">
        <f t="shared" si="3"/>
        <v>0</v>
      </c>
      <c r="J7" s="34">
        <f t="shared" si="4"/>
        <v>1</v>
      </c>
    </row>
    <row r="8">
      <c r="A8" s="34" t="s">
        <v>55</v>
      </c>
      <c r="B8" s="35">
        <v>2.67E10</v>
      </c>
      <c r="C8" s="35">
        <v>1.15E7</v>
      </c>
      <c r="D8" s="36">
        <v>7.72E7</v>
      </c>
      <c r="E8" s="36">
        <v>7.72E7</v>
      </c>
      <c r="F8" s="37">
        <f t="shared" si="1"/>
        <v>0.002891385768</v>
      </c>
      <c r="G8" s="36">
        <f>IF(F8="",B8*Summary!$C$22,E8)</f>
        <v>77200000</v>
      </c>
      <c r="H8" s="34">
        <f t="shared" si="2"/>
        <v>1</v>
      </c>
      <c r="I8" s="34">
        <f t="shared" si="3"/>
        <v>0</v>
      </c>
      <c r="J8" s="34">
        <f t="shared" si="4"/>
        <v>1</v>
      </c>
    </row>
    <row r="9">
      <c r="A9" s="34" t="s">
        <v>61</v>
      </c>
      <c r="B9" s="35">
        <v>2.55E10</v>
      </c>
      <c r="C9" s="35">
        <v>2.155E7</v>
      </c>
      <c r="D9" s="34"/>
      <c r="E9" s="36">
        <v>2.155E7</v>
      </c>
      <c r="F9" s="37">
        <f t="shared" si="1"/>
        <v>0.0008450980392</v>
      </c>
      <c r="G9" s="36">
        <f>IF(F9="",B9*Summary!$C$22,E9)</f>
        <v>21550000</v>
      </c>
      <c r="H9" s="34">
        <f t="shared" si="2"/>
        <v>1</v>
      </c>
      <c r="I9" s="34">
        <f t="shared" si="3"/>
        <v>1</v>
      </c>
      <c r="J9" s="34">
        <f t="shared" si="4"/>
        <v>0</v>
      </c>
    </row>
    <row r="10">
      <c r="A10" s="34" t="s">
        <v>66</v>
      </c>
      <c r="B10" s="35">
        <v>2.5E10</v>
      </c>
      <c r="C10" s="35"/>
      <c r="D10" s="34"/>
      <c r="E10" s="36"/>
      <c r="F10" s="37" t="str">
        <f t="shared" si="1"/>
        <v/>
      </c>
      <c r="G10" s="36">
        <f>IF(F10="",B10*Summary!$C$22,E10)</f>
        <v>159008928.6</v>
      </c>
      <c r="H10" s="34">
        <f t="shared" si="2"/>
        <v>0</v>
      </c>
      <c r="I10" s="34">
        <f t="shared" si="3"/>
        <v>0</v>
      </c>
      <c r="J10" s="34">
        <f t="shared" si="4"/>
        <v>0</v>
      </c>
    </row>
    <row r="11">
      <c r="A11" s="34" t="s">
        <v>70</v>
      </c>
      <c r="B11" s="35">
        <v>2.19E10</v>
      </c>
      <c r="C11" s="35">
        <v>1.9777777E7</v>
      </c>
      <c r="D11" s="36">
        <v>1.9777777E7</v>
      </c>
      <c r="E11" s="36">
        <v>1.9777777E7</v>
      </c>
      <c r="F11" s="37">
        <f t="shared" si="1"/>
        <v>0.0009030948402</v>
      </c>
      <c r="G11" s="36">
        <f>IF(F11="",B11*Summary!$C$22,E11)</f>
        <v>19777777</v>
      </c>
      <c r="H11" s="34">
        <f t="shared" si="2"/>
        <v>1</v>
      </c>
      <c r="I11" s="34">
        <f t="shared" si="3"/>
        <v>0</v>
      </c>
      <c r="J11" s="34">
        <f t="shared" si="4"/>
        <v>1</v>
      </c>
    </row>
    <row r="12">
      <c r="A12" s="34" t="s">
        <v>74</v>
      </c>
      <c r="B12" s="35">
        <v>2.0E10</v>
      </c>
      <c r="C12" s="35"/>
      <c r="D12" s="34"/>
      <c r="E12" s="36"/>
      <c r="F12" s="37" t="str">
        <f t="shared" si="1"/>
        <v/>
      </c>
      <c r="G12" s="36">
        <f>IF(F12="",B12*Summary!$C$22,E12)</f>
        <v>127207142.9</v>
      </c>
      <c r="H12" s="34">
        <f t="shared" si="2"/>
        <v>0</v>
      </c>
      <c r="I12" s="34">
        <f t="shared" si="3"/>
        <v>0</v>
      </c>
      <c r="J12" s="34">
        <f t="shared" si="4"/>
        <v>0</v>
      </c>
    </row>
    <row r="13">
      <c r="A13" s="34" t="s">
        <v>76</v>
      </c>
      <c r="B13" s="35">
        <v>1.92E10</v>
      </c>
      <c r="C13" s="35"/>
      <c r="D13" s="34"/>
      <c r="E13" s="36"/>
      <c r="F13" s="37" t="str">
        <f t="shared" si="1"/>
        <v/>
      </c>
      <c r="G13" s="36">
        <f>IF(F13="",B13*Summary!$C$22,E13)</f>
        <v>122118857.1</v>
      </c>
      <c r="H13" s="34">
        <f t="shared" si="2"/>
        <v>0</v>
      </c>
      <c r="I13" s="34">
        <f t="shared" si="3"/>
        <v>0</v>
      </c>
      <c r="J13" s="34">
        <f t="shared" si="4"/>
        <v>0</v>
      </c>
    </row>
    <row r="14">
      <c r="A14" s="34" t="s">
        <v>78</v>
      </c>
      <c r="B14" s="35">
        <v>1.79E10</v>
      </c>
      <c r="C14" s="35">
        <v>5.4E7</v>
      </c>
      <c r="D14" s="34"/>
      <c r="E14" s="36">
        <v>5.4E7</v>
      </c>
      <c r="F14" s="37">
        <f t="shared" si="1"/>
        <v>0.003016759777</v>
      </c>
      <c r="G14" s="36">
        <f>IF(F14="",B14*Summary!$C$22,E14)</f>
        <v>54000000</v>
      </c>
      <c r="H14" s="34">
        <f t="shared" si="2"/>
        <v>1</v>
      </c>
      <c r="I14" s="34">
        <f t="shared" si="3"/>
        <v>1</v>
      </c>
      <c r="J14" s="34">
        <f t="shared" si="4"/>
        <v>0</v>
      </c>
    </row>
    <row r="15">
      <c r="A15" s="34" t="s">
        <v>82</v>
      </c>
      <c r="B15" s="35">
        <v>1.75E10</v>
      </c>
      <c r="C15" s="35">
        <v>7250000.0</v>
      </c>
      <c r="D15" s="34"/>
      <c r="E15" s="36">
        <v>7250000.0</v>
      </c>
      <c r="F15" s="37">
        <f t="shared" si="1"/>
        <v>0.0004142857143</v>
      </c>
      <c r="G15" s="36">
        <f>IF(F15="",B15*Summary!$C$22,E15)</f>
        <v>7250000</v>
      </c>
      <c r="H15" s="34">
        <f t="shared" si="2"/>
        <v>1</v>
      </c>
      <c r="I15" s="34">
        <f t="shared" si="3"/>
        <v>1</v>
      </c>
      <c r="J15" s="34">
        <f t="shared" si="4"/>
        <v>0</v>
      </c>
    </row>
    <row r="16">
      <c r="A16" s="34" t="s">
        <v>86</v>
      </c>
      <c r="B16" s="35">
        <v>1.75E10</v>
      </c>
      <c r="C16" s="35"/>
      <c r="D16" s="34"/>
      <c r="E16" s="36"/>
      <c r="F16" s="37" t="str">
        <f t="shared" si="1"/>
        <v/>
      </c>
      <c r="G16" s="36">
        <f>IF(F16="",B16*Summary!$C$22,E16)</f>
        <v>111306250</v>
      </c>
      <c r="H16" s="34">
        <f t="shared" si="2"/>
        <v>0</v>
      </c>
      <c r="I16" s="34">
        <f t="shared" si="3"/>
        <v>0</v>
      </c>
      <c r="J16" s="34">
        <f t="shared" si="4"/>
        <v>0</v>
      </c>
    </row>
    <row r="17">
      <c r="A17" s="34" t="s">
        <v>88</v>
      </c>
      <c r="B17" s="35">
        <v>1.71E10</v>
      </c>
      <c r="C17" s="35">
        <v>1.87E8</v>
      </c>
      <c r="D17" s="36">
        <v>4.0E8</v>
      </c>
      <c r="E17" s="36">
        <v>4.0E8</v>
      </c>
      <c r="F17" s="37">
        <f t="shared" si="1"/>
        <v>0.02339181287</v>
      </c>
      <c r="G17" s="36">
        <f>IF(F17="",B17*Summary!$C$22,E17)</f>
        <v>400000000</v>
      </c>
      <c r="H17" s="34">
        <f t="shared" si="2"/>
        <v>1</v>
      </c>
      <c r="I17" s="34">
        <f t="shared" si="3"/>
        <v>0</v>
      </c>
      <c r="J17" s="34">
        <f t="shared" si="4"/>
        <v>1</v>
      </c>
    </row>
    <row r="18">
      <c r="A18" s="34" t="s">
        <v>95</v>
      </c>
      <c r="B18" s="35">
        <v>1.59E10</v>
      </c>
      <c r="C18" s="35">
        <v>2.908416E7</v>
      </c>
      <c r="D18" s="34"/>
      <c r="E18" s="36">
        <v>2.908416E7</v>
      </c>
      <c r="F18" s="37">
        <f t="shared" si="1"/>
        <v>0.001829192453</v>
      </c>
      <c r="G18" s="36">
        <f>IF(F18="",B18*Summary!$C$22,E18)</f>
        <v>29084160</v>
      </c>
      <c r="H18" s="34">
        <f t="shared" si="2"/>
        <v>1</v>
      </c>
      <c r="I18" s="34">
        <f t="shared" si="3"/>
        <v>1</v>
      </c>
      <c r="J18" s="34">
        <f t="shared" si="4"/>
        <v>0</v>
      </c>
    </row>
    <row r="19">
      <c r="A19" s="34" t="s">
        <v>98</v>
      </c>
      <c r="B19" s="35">
        <v>1.4E10</v>
      </c>
      <c r="C19" s="35">
        <v>7.0E7</v>
      </c>
      <c r="D19" s="36">
        <v>2.42E8</v>
      </c>
      <c r="E19" s="36">
        <v>2.42E8</v>
      </c>
      <c r="F19" s="37">
        <f t="shared" si="1"/>
        <v>0.01728571429</v>
      </c>
      <c r="G19" s="36">
        <f>IF(F19="",B19*Summary!$C$22,E19)</f>
        <v>242000000</v>
      </c>
      <c r="H19" s="34">
        <f t="shared" si="2"/>
        <v>1</v>
      </c>
      <c r="I19" s="34">
        <f t="shared" si="3"/>
        <v>0</v>
      </c>
      <c r="J19" s="34">
        <f t="shared" si="4"/>
        <v>1</v>
      </c>
    </row>
    <row r="20">
      <c r="A20" s="34" t="s">
        <v>104</v>
      </c>
      <c r="B20" s="35">
        <v>1.38E10</v>
      </c>
      <c r="C20" s="35"/>
      <c r="D20" s="34"/>
      <c r="E20" s="36"/>
      <c r="F20" s="37" t="str">
        <f t="shared" si="1"/>
        <v/>
      </c>
      <c r="G20" s="36">
        <f>IF(F20="",B20*Summary!$C$22,E20)</f>
        <v>87772928.57</v>
      </c>
      <c r="H20" s="34">
        <f t="shared" si="2"/>
        <v>0</v>
      </c>
      <c r="I20" s="34">
        <f t="shared" si="3"/>
        <v>0</v>
      </c>
      <c r="J20" s="34">
        <f t="shared" si="4"/>
        <v>0</v>
      </c>
    </row>
    <row r="21">
      <c r="A21" s="34" t="s">
        <v>107</v>
      </c>
      <c r="B21" s="35">
        <v>1.31E10</v>
      </c>
      <c r="C21" s="35">
        <v>6.0E7</v>
      </c>
      <c r="D21" s="36">
        <v>1.0E8</v>
      </c>
      <c r="E21" s="36">
        <v>1.0E8</v>
      </c>
      <c r="F21" s="37">
        <f t="shared" si="1"/>
        <v>0.007633587786</v>
      </c>
      <c r="G21" s="36">
        <f>IF(F21="",B21*Summary!$C$22,E21)</f>
        <v>100000000</v>
      </c>
      <c r="H21" s="34">
        <f t="shared" si="2"/>
        <v>1</v>
      </c>
      <c r="I21" s="34">
        <f t="shared" si="3"/>
        <v>0</v>
      </c>
      <c r="J21" s="34">
        <f t="shared" si="4"/>
        <v>1</v>
      </c>
    </row>
    <row r="22">
      <c r="A22" s="34" t="s">
        <v>111</v>
      </c>
      <c r="B22" s="35">
        <v>1.25E10</v>
      </c>
      <c r="C22" s="35"/>
      <c r="D22" s="34"/>
      <c r="E22" s="36"/>
      <c r="F22" s="37" t="str">
        <f t="shared" si="1"/>
        <v/>
      </c>
      <c r="G22" s="36">
        <f>IF(F22="",B22*Summary!$C$22,E22)</f>
        <v>79504464.29</v>
      </c>
      <c r="H22" s="34">
        <f t="shared" si="2"/>
        <v>0</v>
      </c>
      <c r="I22" s="34">
        <f t="shared" si="3"/>
        <v>0</v>
      </c>
      <c r="J22" s="34">
        <f t="shared" si="4"/>
        <v>0</v>
      </c>
    </row>
    <row r="23">
      <c r="A23" s="34" t="s">
        <v>116</v>
      </c>
      <c r="B23" s="35">
        <v>1.16E10</v>
      </c>
      <c r="C23" s="35">
        <v>6.33E7</v>
      </c>
      <c r="D23" s="36">
        <v>8.61E7</v>
      </c>
      <c r="E23" s="36">
        <v>8.61E7</v>
      </c>
      <c r="F23" s="37">
        <f t="shared" si="1"/>
        <v>0.007422413793</v>
      </c>
      <c r="G23" s="36">
        <f>IF(F23="",B23*Summary!$C$22,E23)</f>
        <v>86100000</v>
      </c>
      <c r="H23" s="34">
        <f t="shared" si="2"/>
        <v>1</v>
      </c>
      <c r="I23" s="34">
        <f t="shared" si="3"/>
        <v>0</v>
      </c>
      <c r="J23" s="34">
        <f t="shared" si="4"/>
        <v>1</v>
      </c>
    </row>
    <row r="24">
      <c r="A24" s="34" t="s">
        <v>120</v>
      </c>
      <c r="B24" s="35">
        <v>1.12E10</v>
      </c>
      <c r="C24" s="35">
        <v>800000.0</v>
      </c>
      <c r="D24" s="34"/>
      <c r="E24" s="36">
        <v>800000.0</v>
      </c>
      <c r="F24" s="37">
        <f t="shared" si="1"/>
        <v>0.00007142857143</v>
      </c>
      <c r="G24" s="36">
        <f>IF(F24="",B24*Summary!$C$22,E24)</f>
        <v>800000</v>
      </c>
      <c r="H24" s="34">
        <f t="shared" si="2"/>
        <v>1</v>
      </c>
      <c r="I24" s="34">
        <f t="shared" si="3"/>
        <v>1</v>
      </c>
      <c r="J24" s="34">
        <f t="shared" si="4"/>
        <v>0</v>
      </c>
    </row>
    <row r="25">
      <c r="A25" s="34" t="s">
        <v>124</v>
      </c>
      <c r="B25" s="35">
        <v>1.07E10</v>
      </c>
      <c r="C25" s="35">
        <v>1.0E7</v>
      </c>
      <c r="D25" s="36">
        <v>8.0E7</v>
      </c>
      <c r="E25" s="36">
        <v>8.0E7</v>
      </c>
      <c r="F25" s="37">
        <f t="shared" si="1"/>
        <v>0.007476635514</v>
      </c>
      <c r="G25" s="36">
        <f>IF(F25="",B25*Summary!$C$22,E25)</f>
        <v>80000000</v>
      </c>
      <c r="H25" s="34">
        <f t="shared" si="2"/>
        <v>1</v>
      </c>
      <c r="I25" s="34">
        <f t="shared" si="3"/>
        <v>0</v>
      </c>
      <c r="J25" s="34">
        <f t="shared" si="4"/>
        <v>1</v>
      </c>
    </row>
    <row r="26">
      <c r="A26" s="34" t="s">
        <v>129</v>
      </c>
      <c r="B26" s="35">
        <v>1.02E10</v>
      </c>
      <c r="C26" s="35">
        <v>1.35E7</v>
      </c>
      <c r="D26" s="36">
        <v>1.35E7</v>
      </c>
      <c r="E26" s="36">
        <v>1.35E7</v>
      </c>
      <c r="F26" s="37">
        <f t="shared" si="1"/>
        <v>0.001323529412</v>
      </c>
      <c r="G26" s="36">
        <f>IF(F26="",B26*Summary!$C$22,E26)</f>
        <v>13500000</v>
      </c>
      <c r="H26" s="34">
        <f t="shared" si="2"/>
        <v>1</v>
      </c>
      <c r="I26" s="34">
        <f t="shared" si="3"/>
        <v>0</v>
      </c>
      <c r="J26" s="34">
        <f t="shared" si="4"/>
        <v>1</v>
      </c>
    </row>
    <row r="27">
      <c r="A27" s="34" t="s">
        <v>133</v>
      </c>
      <c r="B27" s="35">
        <v>1.01E10</v>
      </c>
      <c r="C27" s="35">
        <v>1.33E8</v>
      </c>
      <c r="D27" s="36">
        <v>1.33E8</v>
      </c>
      <c r="E27" s="36">
        <v>1.33E8</v>
      </c>
      <c r="F27" s="37">
        <f t="shared" si="1"/>
        <v>0.01316831683</v>
      </c>
      <c r="G27" s="36">
        <f>IF(F27="",B27*Summary!$C$22,E27)</f>
        <v>133000000</v>
      </c>
      <c r="H27" s="34">
        <f t="shared" si="2"/>
        <v>1</v>
      </c>
      <c r="I27" s="34">
        <f t="shared" si="3"/>
        <v>0</v>
      </c>
      <c r="J27" s="34">
        <f t="shared" si="4"/>
        <v>1</v>
      </c>
    </row>
    <row r="28">
      <c r="A28" s="34" t="s">
        <v>136</v>
      </c>
      <c r="B28" s="35">
        <v>1.0E10</v>
      </c>
      <c r="C28" s="35"/>
      <c r="D28" s="34"/>
      <c r="E28" s="36"/>
      <c r="F28" s="37" t="str">
        <f t="shared" si="1"/>
        <v/>
      </c>
      <c r="G28" s="36">
        <f>IF(F28="",B28*Summary!$C$22,E28)</f>
        <v>63603571.43</v>
      </c>
      <c r="H28" s="34">
        <f t="shared" si="2"/>
        <v>0</v>
      </c>
      <c r="I28" s="34">
        <f t="shared" si="3"/>
        <v>0</v>
      </c>
      <c r="J28" s="34">
        <f t="shared" si="4"/>
        <v>0</v>
      </c>
    </row>
    <row r="29">
      <c r="A29" s="34" t="s">
        <v>138</v>
      </c>
      <c r="B29" s="35">
        <v>1.0E10</v>
      </c>
      <c r="C29" s="35">
        <v>1.0E8</v>
      </c>
      <c r="D29" s="36">
        <v>1.38E8</v>
      </c>
      <c r="E29" s="36">
        <v>1.38E8</v>
      </c>
      <c r="F29" s="37">
        <f t="shared" si="1"/>
        <v>0.0138</v>
      </c>
      <c r="G29" s="36">
        <f>IF(F29="",B29*Summary!$C$22,E29)</f>
        <v>138000000</v>
      </c>
      <c r="H29" s="34">
        <f t="shared" si="2"/>
        <v>1</v>
      </c>
      <c r="I29" s="34">
        <f t="shared" si="3"/>
        <v>0</v>
      </c>
      <c r="J29" s="34">
        <f t="shared" si="4"/>
        <v>1</v>
      </c>
    </row>
    <row r="30">
      <c r="A30" s="34" t="s">
        <v>142</v>
      </c>
      <c r="B30" s="35">
        <v>9.8E9</v>
      </c>
      <c r="C30" s="35"/>
      <c r="D30" s="34"/>
      <c r="E30" s="36"/>
      <c r="F30" s="37" t="str">
        <f t="shared" si="1"/>
        <v/>
      </c>
      <c r="G30" s="36">
        <f>IF(F30="",B30*Summary!$C$22,E30)</f>
        <v>62331500</v>
      </c>
      <c r="H30" s="34">
        <f t="shared" si="2"/>
        <v>0</v>
      </c>
      <c r="I30" s="34">
        <f t="shared" si="3"/>
        <v>0</v>
      </c>
      <c r="J30" s="34">
        <f t="shared" si="4"/>
        <v>0</v>
      </c>
    </row>
    <row r="31">
      <c r="A31" s="34" t="s">
        <v>144</v>
      </c>
      <c r="B31" s="35">
        <v>9.6E9</v>
      </c>
      <c r="C31" s="35"/>
      <c r="D31" s="34"/>
      <c r="E31" s="36"/>
      <c r="F31" s="37" t="str">
        <f t="shared" si="1"/>
        <v/>
      </c>
      <c r="G31" s="36">
        <f>IF(F31="",B31*Summary!$C$22,E31)</f>
        <v>61059428.57</v>
      </c>
      <c r="H31" s="34">
        <f t="shared" si="2"/>
        <v>0</v>
      </c>
      <c r="I31" s="34">
        <f t="shared" si="3"/>
        <v>0</v>
      </c>
      <c r="J31" s="34">
        <f t="shared" si="4"/>
        <v>0</v>
      </c>
    </row>
    <row r="32">
      <c r="A32" s="34" t="s">
        <v>147</v>
      </c>
      <c r="B32" s="35">
        <v>9.3E9</v>
      </c>
      <c r="C32" s="35">
        <v>1.8E7</v>
      </c>
      <c r="D32" s="34"/>
      <c r="E32" s="36">
        <v>1.8E7</v>
      </c>
      <c r="F32" s="37">
        <f t="shared" si="1"/>
        <v>0.001935483871</v>
      </c>
      <c r="G32" s="36">
        <f>IF(F32="",B32*Summary!$C$22,E32)</f>
        <v>18000000</v>
      </c>
      <c r="H32" s="34">
        <f t="shared" si="2"/>
        <v>1</v>
      </c>
      <c r="I32" s="34">
        <f t="shared" si="3"/>
        <v>1</v>
      </c>
      <c r="J32" s="34">
        <f t="shared" si="4"/>
        <v>0</v>
      </c>
    </row>
    <row r="33">
      <c r="A33" s="34" t="s">
        <v>150</v>
      </c>
      <c r="B33" s="35">
        <v>9.2E9</v>
      </c>
      <c r="C33" s="35">
        <v>6.8E7</v>
      </c>
      <c r="D33" s="36">
        <v>1.32E8</v>
      </c>
      <c r="E33" s="36">
        <v>1.32E8</v>
      </c>
      <c r="F33" s="37">
        <f t="shared" si="1"/>
        <v>0.01434782609</v>
      </c>
      <c r="G33" s="36">
        <f>IF(F33="",B33*Summary!$C$22,E33)</f>
        <v>132000000</v>
      </c>
      <c r="H33" s="34">
        <f t="shared" si="2"/>
        <v>1</v>
      </c>
      <c r="I33" s="34">
        <f t="shared" si="3"/>
        <v>0</v>
      </c>
      <c r="J33" s="34">
        <f t="shared" si="4"/>
        <v>1</v>
      </c>
    </row>
    <row r="34">
      <c r="A34" s="34" t="s">
        <v>155</v>
      </c>
      <c r="B34" s="35">
        <v>9.1E9</v>
      </c>
      <c r="C34" s="35"/>
      <c r="D34" s="34"/>
      <c r="E34" s="36"/>
      <c r="F34" s="37" t="str">
        <f t="shared" si="1"/>
        <v/>
      </c>
      <c r="G34" s="36">
        <f>IF(F34="",B34*Summary!$C$22,E34)</f>
        <v>57879250</v>
      </c>
      <c r="H34" s="34">
        <f t="shared" si="2"/>
        <v>0</v>
      </c>
      <c r="I34" s="34">
        <f t="shared" si="3"/>
        <v>0</v>
      </c>
      <c r="J34" s="34">
        <f t="shared" si="4"/>
        <v>0</v>
      </c>
    </row>
    <row r="35">
      <c r="A35" s="34" t="s">
        <v>162</v>
      </c>
      <c r="B35" s="35">
        <v>8.6E9</v>
      </c>
      <c r="C35" s="35"/>
      <c r="D35" s="34"/>
      <c r="E35" s="36"/>
      <c r="F35" s="37" t="str">
        <f t="shared" si="1"/>
        <v/>
      </c>
      <c r="G35" s="36">
        <f>IF(F35="",B35*Summary!$C$22,E35)</f>
        <v>54699071.43</v>
      </c>
      <c r="H35" s="34">
        <f t="shared" si="2"/>
        <v>0</v>
      </c>
      <c r="I35" s="34">
        <f t="shared" si="3"/>
        <v>0</v>
      </c>
      <c r="J35" s="34">
        <f t="shared" si="4"/>
        <v>0</v>
      </c>
    </row>
    <row r="36">
      <c r="A36" s="34" t="s">
        <v>164</v>
      </c>
      <c r="B36" s="35">
        <v>8.1E9</v>
      </c>
      <c r="C36" s="35">
        <v>1.0659988E7</v>
      </c>
      <c r="D36" s="36">
        <v>5.13E7</v>
      </c>
      <c r="E36" s="36">
        <v>5.13E7</v>
      </c>
      <c r="F36" s="37">
        <f t="shared" si="1"/>
        <v>0.006333333333</v>
      </c>
      <c r="G36" s="36">
        <f>IF(F36="",B36*Summary!$C$22,E36)</f>
        <v>51300000</v>
      </c>
      <c r="H36" s="34">
        <f t="shared" si="2"/>
        <v>1</v>
      </c>
      <c r="I36" s="34">
        <f t="shared" si="3"/>
        <v>0</v>
      </c>
      <c r="J36" s="34">
        <f t="shared" si="4"/>
        <v>1</v>
      </c>
    </row>
    <row r="37">
      <c r="A37" s="34" t="s">
        <v>172</v>
      </c>
      <c r="B37" s="35">
        <v>7.8E9</v>
      </c>
      <c r="C37" s="35">
        <v>8683775.0</v>
      </c>
      <c r="D37" s="36">
        <v>8683775.0</v>
      </c>
      <c r="E37" s="36">
        <v>8683775.0</v>
      </c>
      <c r="F37" s="37">
        <f t="shared" si="1"/>
        <v>0.001113304487</v>
      </c>
      <c r="G37" s="36">
        <f>IF(F37="",B37*Summary!$C$22,E37)</f>
        <v>8683775</v>
      </c>
      <c r="H37" s="34">
        <f t="shared" si="2"/>
        <v>1</v>
      </c>
      <c r="I37" s="34">
        <f t="shared" si="3"/>
        <v>0</v>
      </c>
      <c r="J37" s="34">
        <f t="shared" si="4"/>
        <v>1</v>
      </c>
    </row>
    <row r="38">
      <c r="A38" s="34" t="s">
        <v>176</v>
      </c>
      <c r="B38" s="35">
        <v>7.7E9</v>
      </c>
      <c r="C38" s="35">
        <v>1.06E7</v>
      </c>
      <c r="D38" s="36">
        <v>1.06E7</v>
      </c>
      <c r="E38" s="36">
        <v>1.06E7</v>
      </c>
      <c r="F38" s="37">
        <f t="shared" si="1"/>
        <v>0.001376623377</v>
      </c>
      <c r="G38" s="36">
        <f>IF(F38="",B38*Summary!$C$22,E38)</f>
        <v>10600000</v>
      </c>
      <c r="H38" s="34">
        <f t="shared" si="2"/>
        <v>1</v>
      </c>
      <c r="I38" s="34">
        <f t="shared" si="3"/>
        <v>0</v>
      </c>
      <c r="J38" s="34">
        <f t="shared" si="4"/>
        <v>1</v>
      </c>
    </row>
    <row r="39">
      <c r="A39" s="34" t="s">
        <v>180</v>
      </c>
      <c r="B39" s="35">
        <v>7.6E9</v>
      </c>
      <c r="C39" s="35">
        <v>8107000.0</v>
      </c>
      <c r="D39" s="36">
        <v>8107000.0</v>
      </c>
      <c r="E39" s="36">
        <v>8107000.0</v>
      </c>
      <c r="F39" s="37">
        <f t="shared" si="1"/>
        <v>0.001066710526</v>
      </c>
      <c r="G39" s="36">
        <f>IF(F39="",B39*Summary!$C$22,E39)</f>
        <v>8107000</v>
      </c>
      <c r="H39" s="34">
        <f t="shared" si="2"/>
        <v>1</v>
      </c>
      <c r="I39" s="34">
        <f t="shared" si="3"/>
        <v>0</v>
      </c>
      <c r="J39" s="34">
        <f t="shared" si="4"/>
        <v>1</v>
      </c>
    </row>
    <row r="40">
      <c r="A40" s="34" t="s">
        <v>184</v>
      </c>
      <c r="B40" s="35">
        <v>7.4E9</v>
      </c>
      <c r="C40" s="35">
        <v>1.02E8</v>
      </c>
      <c r="D40" s="36">
        <v>1.7975E8</v>
      </c>
      <c r="E40" s="36">
        <v>1.7975E8</v>
      </c>
      <c r="F40" s="37">
        <f t="shared" si="1"/>
        <v>0.02429054054</v>
      </c>
      <c r="G40" s="36">
        <f>IF(F40="",B40*Summary!$C$22,E40)</f>
        <v>179750000</v>
      </c>
      <c r="H40" s="34">
        <f t="shared" si="2"/>
        <v>1</v>
      </c>
      <c r="I40" s="34">
        <f t="shared" si="3"/>
        <v>0</v>
      </c>
      <c r="J40" s="34">
        <f t="shared" si="4"/>
        <v>1</v>
      </c>
    </row>
    <row r="41">
      <c r="A41" s="34" t="s">
        <v>189</v>
      </c>
      <c r="B41" s="35">
        <v>7.0E9</v>
      </c>
      <c r="C41" s="35">
        <v>2.5E8</v>
      </c>
      <c r="D41" s="36">
        <v>2.5E8</v>
      </c>
      <c r="E41" s="36">
        <v>2.5E8</v>
      </c>
      <c r="F41" s="37">
        <f t="shared" si="1"/>
        <v>0.03571428571</v>
      </c>
      <c r="G41" s="36">
        <f>IF(F41="",B41*Summary!$C$22,E41)</f>
        <v>250000000</v>
      </c>
      <c r="H41" s="34">
        <f t="shared" si="2"/>
        <v>1</v>
      </c>
      <c r="I41" s="34">
        <f t="shared" si="3"/>
        <v>0</v>
      </c>
      <c r="J41" s="34">
        <f t="shared" si="4"/>
        <v>1</v>
      </c>
    </row>
    <row r="42">
      <c r="A42" s="34" t="s">
        <v>194</v>
      </c>
      <c r="B42" s="35">
        <v>6.9E9</v>
      </c>
      <c r="C42" s="35"/>
      <c r="D42" s="34"/>
      <c r="E42" s="36"/>
      <c r="F42" s="37" t="str">
        <f t="shared" si="1"/>
        <v/>
      </c>
      <c r="G42" s="36">
        <f>IF(F42="",B42*Summary!$C$22,E42)</f>
        <v>43886464.29</v>
      </c>
      <c r="H42" s="34">
        <f t="shared" si="2"/>
        <v>0</v>
      </c>
      <c r="I42" s="34">
        <f t="shared" si="3"/>
        <v>0</v>
      </c>
      <c r="J42" s="34">
        <f t="shared" si="4"/>
        <v>0</v>
      </c>
    </row>
    <row r="43">
      <c r="A43" s="34" t="s">
        <v>198</v>
      </c>
      <c r="B43" s="35">
        <v>6.9E9</v>
      </c>
      <c r="C43" s="35">
        <v>1.5830193E7</v>
      </c>
      <c r="D43" s="36">
        <v>1.5830193E7</v>
      </c>
      <c r="E43" s="36">
        <v>1.5830193E7</v>
      </c>
      <c r="F43" s="37">
        <f t="shared" si="1"/>
        <v>0.00229423087</v>
      </c>
      <c r="G43" s="36">
        <f>IF(F43="",B43*Summary!$C$22,E43)</f>
        <v>15830193</v>
      </c>
      <c r="H43" s="34">
        <f t="shared" si="2"/>
        <v>1</v>
      </c>
      <c r="I43" s="34">
        <f t="shared" si="3"/>
        <v>0</v>
      </c>
      <c r="J43" s="34">
        <f t="shared" si="4"/>
        <v>1</v>
      </c>
    </row>
    <row r="44">
      <c r="A44" s="34" t="s">
        <v>201</v>
      </c>
      <c r="B44" s="35">
        <v>6.7E9</v>
      </c>
      <c r="C44" s="35"/>
      <c r="D44" s="34"/>
      <c r="E44" s="36"/>
      <c r="F44" s="37" t="str">
        <f t="shared" si="1"/>
        <v/>
      </c>
      <c r="G44" s="36">
        <f>IF(F44="",B44*Summary!$C$22,E44)</f>
        <v>42614392.86</v>
      </c>
      <c r="H44" s="34">
        <f t="shared" si="2"/>
        <v>0</v>
      </c>
      <c r="I44" s="34">
        <f t="shared" si="3"/>
        <v>0</v>
      </c>
      <c r="J44" s="34">
        <f t="shared" si="4"/>
        <v>0</v>
      </c>
    </row>
    <row r="45">
      <c r="A45" s="34" t="s">
        <v>203</v>
      </c>
      <c r="B45" s="35">
        <v>6.4E9</v>
      </c>
      <c r="C45" s="35"/>
      <c r="D45" s="34"/>
      <c r="E45" s="36"/>
      <c r="F45" s="37" t="str">
        <f t="shared" si="1"/>
        <v/>
      </c>
      <c r="G45" s="36">
        <f>IF(F45="",B45*Summary!$C$22,E45)</f>
        <v>40706285.71</v>
      </c>
      <c r="H45" s="34">
        <f t="shared" si="2"/>
        <v>0</v>
      </c>
      <c r="I45" s="34">
        <f t="shared" si="3"/>
        <v>0</v>
      </c>
      <c r="J45" s="34">
        <f t="shared" si="4"/>
        <v>0</v>
      </c>
    </row>
    <row r="46">
      <c r="A46" s="34" t="s">
        <v>205</v>
      </c>
      <c r="B46" s="35">
        <v>6.4E9</v>
      </c>
      <c r="C46" s="35"/>
      <c r="D46" s="34"/>
      <c r="E46" s="36"/>
      <c r="F46" s="37" t="str">
        <f t="shared" si="1"/>
        <v/>
      </c>
      <c r="G46" s="36">
        <f>IF(F46="",B46*Summary!$C$22,E46)</f>
        <v>40706285.71</v>
      </c>
      <c r="H46" s="34">
        <f t="shared" si="2"/>
        <v>0</v>
      </c>
      <c r="I46" s="34">
        <f t="shared" si="3"/>
        <v>0</v>
      </c>
      <c r="J46" s="34">
        <f t="shared" si="4"/>
        <v>0</v>
      </c>
    </row>
    <row r="47">
      <c r="A47" s="34" t="s">
        <v>206</v>
      </c>
      <c r="B47" s="35">
        <v>6.3E9</v>
      </c>
      <c r="C47" s="35">
        <v>1031715.0</v>
      </c>
      <c r="D47" s="34"/>
      <c r="E47" s="36">
        <v>1031715.0</v>
      </c>
      <c r="F47" s="37">
        <f t="shared" si="1"/>
        <v>0.0001637642857</v>
      </c>
      <c r="G47" s="36">
        <f>IF(F47="",B47*Summary!$C$22,E47)</f>
        <v>1031715</v>
      </c>
      <c r="H47" s="34">
        <f t="shared" si="2"/>
        <v>1</v>
      </c>
      <c r="I47" s="34">
        <f t="shared" si="3"/>
        <v>1</v>
      </c>
      <c r="J47" s="34">
        <f t="shared" si="4"/>
        <v>0</v>
      </c>
    </row>
    <row r="48">
      <c r="A48" s="34" t="s">
        <v>210</v>
      </c>
      <c r="B48" s="35">
        <v>5.9E9</v>
      </c>
      <c r="C48" s="35">
        <v>8.0E7</v>
      </c>
      <c r="D48" s="36">
        <v>8.65E7</v>
      </c>
      <c r="E48" s="36">
        <v>8.65E7</v>
      </c>
      <c r="F48" s="37">
        <f t="shared" si="1"/>
        <v>0.01466101695</v>
      </c>
      <c r="G48" s="36">
        <f>IF(F48="",B48*Summary!$C$22,E48)</f>
        <v>86500000</v>
      </c>
      <c r="H48" s="34">
        <f t="shared" si="2"/>
        <v>1</v>
      </c>
      <c r="I48" s="34">
        <f t="shared" si="3"/>
        <v>0</v>
      </c>
      <c r="J48" s="34">
        <f t="shared" si="4"/>
        <v>1</v>
      </c>
    </row>
    <row r="49">
      <c r="A49" s="34" t="s">
        <v>216</v>
      </c>
      <c r="B49" s="35">
        <v>5.7E9</v>
      </c>
      <c r="C49" s="35"/>
      <c r="D49" s="36">
        <v>1.4340561E7</v>
      </c>
      <c r="E49" s="36">
        <v>1.4340561E7</v>
      </c>
      <c r="F49" s="37">
        <f t="shared" si="1"/>
        <v>0.002515887895</v>
      </c>
      <c r="G49" s="36">
        <f>IF(F49="",B49*Summary!$C$22,E49)</f>
        <v>14340561</v>
      </c>
      <c r="H49" s="34">
        <f t="shared" si="2"/>
        <v>1</v>
      </c>
      <c r="I49" s="34">
        <f t="shared" si="3"/>
        <v>0</v>
      </c>
      <c r="J49" s="34">
        <f t="shared" si="4"/>
        <v>1</v>
      </c>
    </row>
    <row r="50">
      <c r="A50" s="34" t="s">
        <v>222</v>
      </c>
      <c r="B50" s="35">
        <v>5.6E9</v>
      </c>
      <c r="C50" s="35">
        <v>877000.0</v>
      </c>
      <c r="D50" s="36">
        <v>7862000.0</v>
      </c>
      <c r="E50" s="36">
        <v>7862000.0</v>
      </c>
      <c r="F50" s="37">
        <f t="shared" si="1"/>
        <v>0.001403928571</v>
      </c>
      <c r="G50" s="36">
        <f>IF(F50="",B50*Summary!$C$22,E50)</f>
        <v>7862000</v>
      </c>
      <c r="H50" s="34">
        <f t="shared" si="2"/>
        <v>1</v>
      </c>
      <c r="I50" s="34">
        <f t="shared" si="3"/>
        <v>0</v>
      </c>
      <c r="J50" s="34">
        <f t="shared" si="4"/>
        <v>1</v>
      </c>
    </row>
    <row r="51">
      <c r="A51" s="34" t="s">
        <v>228</v>
      </c>
      <c r="B51" s="35">
        <v>5.6E9</v>
      </c>
      <c r="C51" s="35"/>
      <c r="D51" s="34"/>
      <c r="E51" s="36"/>
      <c r="F51" s="37" t="str">
        <f t="shared" si="1"/>
        <v/>
      </c>
      <c r="G51" s="36">
        <f>IF(F51="",B51*Summary!$C$22,E51)</f>
        <v>35618000</v>
      </c>
      <c r="H51" s="34">
        <f t="shared" si="2"/>
        <v>0</v>
      </c>
      <c r="I51" s="34">
        <f t="shared" si="3"/>
        <v>0</v>
      </c>
      <c r="J51" s="34">
        <f t="shared" si="4"/>
        <v>0</v>
      </c>
    </row>
    <row r="52">
      <c r="A52" s="34" t="s">
        <v>232</v>
      </c>
      <c r="B52" s="35">
        <v>5.5E9</v>
      </c>
      <c r="C52" s="35"/>
      <c r="D52" s="34"/>
      <c r="E52" s="36"/>
      <c r="F52" s="37" t="str">
        <f t="shared" si="1"/>
        <v/>
      </c>
      <c r="G52" s="36">
        <f>IF(F52="",B52*Summary!$C$22,E52)</f>
        <v>34981964.29</v>
      </c>
      <c r="H52" s="34">
        <f t="shared" si="2"/>
        <v>0</v>
      </c>
      <c r="I52" s="34">
        <f t="shared" si="3"/>
        <v>0</v>
      </c>
      <c r="J52" s="34">
        <f t="shared" si="4"/>
        <v>0</v>
      </c>
    </row>
    <row r="53">
      <c r="A53" s="34" t="s">
        <v>236</v>
      </c>
      <c r="B53" s="35">
        <v>5.4E9</v>
      </c>
      <c r="C53" s="35"/>
      <c r="D53" s="34"/>
      <c r="E53" s="36"/>
      <c r="F53" s="37" t="str">
        <f t="shared" si="1"/>
        <v/>
      </c>
      <c r="G53" s="36">
        <f>IF(F53="",B53*Summary!$C$22,E53)</f>
        <v>34345928.57</v>
      </c>
      <c r="H53" s="34">
        <f t="shared" si="2"/>
        <v>0</v>
      </c>
      <c r="I53" s="34">
        <f t="shared" si="3"/>
        <v>0</v>
      </c>
      <c r="J53" s="34">
        <f t="shared" si="4"/>
        <v>0</v>
      </c>
    </row>
    <row r="54">
      <c r="A54" s="34" t="s">
        <v>239</v>
      </c>
      <c r="B54" s="35">
        <v>5.4E9</v>
      </c>
      <c r="C54" s="35">
        <v>2.960876E7</v>
      </c>
      <c r="D54" s="36">
        <v>2.960876E7</v>
      </c>
      <c r="E54" s="36">
        <v>2.960876E7</v>
      </c>
      <c r="F54" s="37">
        <f t="shared" si="1"/>
        <v>0.005483103704</v>
      </c>
      <c r="G54" s="36">
        <f>IF(F54="",B54*Summary!$C$22,E54)</f>
        <v>29608760</v>
      </c>
      <c r="H54" s="34">
        <f t="shared" si="2"/>
        <v>1</v>
      </c>
      <c r="I54" s="34">
        <f t="shared" si="3"/>
        <v>0</v>
      </c>
      <c r="J54" s="34">
        <f t="shared" si="4"/>
        <v>1</v>
      </c>
    </row>
    <row r="55">
      <c r="A55" s="34" t="s">
        <v>242</v>
      </c>
      <c r="B55" s="35">
        <v>5.4E9</v>
      </c>
      <c r="C55" s="35">
        <v>3.0E7</v>
      </c>
      <c r="D55" s="36">
        <v>1.625E8</v>
      </c>
      <c r="E55" s="36">
        <v>1.625E8</v>
      </c>
      <c r="F55" s="37">
        <f t="shared" si="1"/>
        <v>0.03009259259</v>
      </c>
      <c r="G55" s="36">
        <f>IF(F55="",B55*Summary!$C$22,E55)</f>
        <v>162500000</v>
      </c>
      <c r="H55" s="34">
        <f t="shared" si="2"/>
        <v>1</v>
      </c>
      <c r="I55" s="34">
        <f t="shared" si="3"/>
        <v>0</v>
      </c>
      <c r="J55" s="34">
        <f t="shared" si="4"/>
        <v>1</v>
      </c>
    </row>
    <row r="56">
      <c r="A56" s="34" t="s">
        <v>247</v>
      </c>
      <c r="B56" s="35">
        <v>5.4E9</v>
      </c>
      <c r="C56" s="35"/>
      <c r="D56" s="34"/>
      <c r="E56" s="36"/>
      <c r="F56" s="37" t="str">
        <f t="shared" si="1"/>
        <v/>
      </c>
      <c r="G56" s="36">
        <f>IF(F56="",B56*Summary!$C$22,E56)</f>
        <v>34345928.57</v>
      </c>
      <c r="H56" s="34">
        <f t="shared" si="2"/>
        <v>0</v>
      </c>
      <c r="I56" s="34">
        <f t="shared" si="3"/>
        <v>0</v>
      </c>
      <c r="J56" s="34">
        <f t="shared" si="4"/>
        <v>0</v>
      </c>
    </row>
    <row r="57">
      <c r="A57" s="34" t="s">
        <v>248</v>
      </c>
      <c r="B57" s="35">
        <v>5.3E9</v>
      </c>
      <c r="C57" s="35">
        <v>1.7115689E7</v>
      </c>
      <c r="D57" s="36">
        <v>1.7115689E7</v>
      </c>
      <c r="E57" s="36">
        <v>1.7115689E7</v>
      </c>
      <c r="F57" s="37">
        <f t="shared" si="1"/>
        <v>0.003229375283</v>
      </c>
      <c r="G57" s="36">
        <f>IF(F57="",B57*Summary!$C$22,E57)</f>
        <v>17115689</v>
      </c>
      <c r="H57" s="34">
        <f t="shared" si="2"/>
        <v>1</v>
      </c>
      <c r="I57" s="34">
        <f t="shared" si="3"/>
        <v>0</v>
      </c>
      <c r="J57" s="34">
        <f t="shared" si="4"/>
        <v>1</v>
      </c>
    </row>
    <row r="58">
      <c r="A58" s="34" t="s">
        <v>252</v>
      </c>
      <c r="B58" s="35">
        <v>5.3E9</v>
      </c>
      <c r="C58" s="35">
        <v>1.7115689E7</v>
      </c>
      <c r="D58" s="36">
        <v>1.7115689E7</v>
      </c>
      <c r="E58" s="36">
        <v>1.7115689E7</v>
      </c>
      <c r="F58" s="37">
        <f t="shared" si="1"/>
        <v>0.003229375283</v>
      </c>
      <c r="G58" s="36">
        <f>IF(F58="",B58*Summary!$C$22,E58)</f>
        <v>17115689</v>
      </c>
      <c r="H58" s="34">
        <f t="shared" si="2"/>
        <v>1</v>
      </c>
      <c r="I58" s="34">
        <f t="shared" si="3"/>
        <v>0</v>
      </c>
      <c r="J58" s="34">
        <f t="shared" si="4"/>
        <v>1</v>
      </c>
    </row>
    <row r="59">
      <c r="A59" s="34" t="s">
        <v>254</v>
      </c>
      <c r="B59" s="35">
        <v>5.3E9</v>
      </c>
      <c r="C59" s="35"/>
      <c r="D59" s="34"/>
      <c r="E59" s="36"/>
      <c r="F59" s="37" t="str">
        <f t="shared" si="1"/>
        <v/>
      </c>
      <c r="G59" s="36">
        <f>IF(F59="",B59*Summary!$C$22,E59)</f>
        <v>33709892.86</v>
      </c>
      <c r="H59" s="34">
        <f t="shared" si="2"/>
        <v>0</v>
      </c>
      <c r="I59" s="34">
        <f t="shared" si="3"/>
        <v>0</v>
      </c>
      <c r="J59" s="34">
        <f t="shared" si="4"/>
        <v>0</v>
      </c>
    </row>
    <row r="60">
      <c r="A60" s="34" t="s">
        <v>255</v>
      </c>
      <c r="B60" s="35">
        <v>5.3E9</v>
      </c>
      <c r="C60" s="35">
        <v>4.16E7</v>
      </c>
      <c r="D60" s="36">
        <v>1.23E8</v>
      </c>
      <c r="E60" s="36">
        <v>1.23E8</v>
      </c>
      <c r="F60" s="37">
        <f t="shared" si="1"/>
        <v>0.02320754717</v>
      </c>
      <c r="G60" s="36">
        <f>IF(F60="",B60*Summary!$C$22,E60)</f>
        <v>123000000</v>
      </c>
      <c r="H60" s="34">
        <f t="shared" si="2"/>
        <v>1</v>
      </c>
      <c r="I60" s="34">
        <f t="shared" si="3"/>
        <v>0</v>
      </c>
      <c r="J60" s="34">
        <f t="shared" si="4"/>
        <v>1</v>
      </c>
    </row>
    <row r="61">
      <c r="A61" s="34" t="s">
        <v>261</v>
      </c>
      <c r="B61" s="35">
        <v>5.1E9</v>
      </c>
      <c r="C61" s="35">
        <v>1750000.0</v>
      </c>
      <c r="D61" s="36">
        <v>3250000.0</v>
      </c>
      <c r="E61" s="36">
        <v>3250000.0</v>
      </c>
      <c r="F61" s="37">
        <f t="shared" si="1"/>
        <v>0.000637254902</v>
      </c>
      <c r="G61" s="36">
        <f>IF(F61="",B61*Summary!$C$22,E61)</f>
        <v>3250000</v>
      </c>
      <c r="H61" s="34">
        <f t="shared" si="2"/>
        <v>1</v>
      </c>
      <c r="I61" s="34">
        <f t="shared" si="3"/>
        <v>0</v>
      </c>
      <c r="J61" s="34">
        <f t="shared" si="4"/>
        <v>1</v>
      </c>
    </row>
    <row r="62">
      <c r="A62" s="34" t="s">
        <v>267</v>
      </c>
      <c r="B62" s="35">
        <v>5.1E9</v>
      </c>
      <c r="C62" s="35"/>
      <c r="D62" s="34"/>
      <c r="E62" s="36"/>
      <c r="F62" s="37" t="str">
        <f t="shared" si="1"/>
        <v/>
      </c>
      <c r="G62" s="36">
        <f>IF(F62="",B62*Summary!$C$22,E62)</f>
        <v>32437821.43</v>
      </c>
      <c r="H62" s="34">
        <f t="shared" si="2"/>
        <v>0</v>
      </c>
      <c r="I62" s="34">
        <f t="shared" si="3"/>
        <v>0</v>
      </c>
      <c r="J62" s="34">
        <f t="shared" si="4"/>
        <v>0</v>
      </c>
    </row>
    <row r="63">
      <c r="A63" s="34" t="s">
        <v>269</v>
      </c>
      <c r="B63" s="35">
        <v>5.0E9</v>
      </c>
      <c r="C63" s="35"/>
      <c r="D63" s="34"/>
      <c r="E63" s="36"/>
      <c r="F63" s="37" t="str">
        <f t="shared" si="1"/>
        <v/>
      </c>
      <c r="G63" s="36">
        <f>IF(F63="",B63*Summary!$C$22,E63)</f>
        <v>31801785.71</v>
      </c>
      <c r="H63" s="34">
        <f t="shared" si="2"/>
        <v>0</v>
      </c>
      <c r="I63" s="34">
        <f t="shared" si="3"/>
        <v>0</v>
      </c>
      <c r="J63" s="34">
        <f t="shared" si="4"/>
        <v>0</v>
      </c>
    </row>
    <row r="64">
      <c r="A64" s="34" t="s">
        <v>272</v>
      </c>
      <c r="B64" s="35">
        <v>5.0E9</v>
      </c>
      <c r="C64" s="35"/>
      <c r="D64" s="34"/>
      <c r="E64" s="36"/>
      <c r="F64" s="37" t="str">
        <f t="shared" si="1"/>
        <v/>
      </c>
      <c r="G64" s="36">
        <f>IF(F64="",B64*Summary!$C$22,E64)</f>
        <v>31801785.71</v>
      </c>
      <c r="H64" s="34">
        <f t="shared" si="2"/>
        <v>0</v>
      </c>
      <c r="I64" s="34">
        <f t="shared" si="3"/>
        <v>0</v>
      </c>
      <c r="J64" s="34">
        <f t="shared" si="4"/>
        <v>0</v>
      </c>
    </row>
    <row r="65">
      <c r="A65" s="34" t="s">
        <v>273</v>
      </c>
      <c r="B65" s="35">
        <v>4.9E9</v>
      </c>
      <c r="C65" s="35">
        <v>3.19E7</v>
      </c>
      <c r="D65" s="36">
        <v>3.19E7</v>
      </c>
      <c r="E65" s="36">
        <v>3.19E7</v>
      </c>
      <c r="F65" s="37">
        <f t="shared" si="1"/>
        <v>0.006510204082</v>
      </c>
      <c r="G65" s="36">
        <f>IF(F65="",B65*Summary!$C$22,E65)</f>
        <v>31900000</v>
      </c>
      <c r="H65" s="34">
        <f t="shared" si="2"/>
        <v>1</v>
      </c>
      <c r="I65" s="34">
        <f t="shared" si="3"/>
        <v>0</v>
      </c>
      <c r="J65" s="34">
        <f t="shared" si="4"/>
        <v>1</v>
      </c>
    </row>
    <row r="66">
      <c r="A66" s="34" t="s">
        <v>278</v>
      </c>
      <c r="B66" s="35">
        <v>4.9E9</v>
      </c>
      <c r="C66" s="35"/>
      <c r="D66" s="34"/>
      <c r="E66" s="36"/>
      <c r="F66" s="37" t="str">
        <f t="shared" si="1"/>
        <v/>
      </c>
      <c r="G66" s="36">
        <f>IF(F66="",B66*Summary!$C$22,E66)</f>
        <v>31165750</v>
      </c>
      <c r="H66" s="34">
        <f t="shared" si="2"/>
        <v>0</v>
      </c>
      <c r="I66" s="34">
        <f t="shared" si="3"/>
        <v>0</v>
      </c>
      <c r="J66" s="34">
        <f t="shared" si="4"/>
        <v>0</v>
      </c>
    </row>
    <row r="67">
      <c r="A67" s="34" t="s">
        <v>279</v>
      </c>
      <c r="B67" s="35">
        <v>4.8E9</v>
      </c>
      <c r="C67" s="35">
        <v>2.2222762E7</v>
      </c>
      <c r="D67" s="36">
        <v>5.9322762E7</v>
      </c>
      <c r="E67" s="36">
        <v>5.9322762E7</v>
      </c>
      <c r="F67" s="37">
        <f t="shared" si="1"/>
        <v>0.01235890875</v>
      </c>
      <c r="G67" s="36">
        <f>IF(F67="",B67*Summary!$C$22,E67)</f>
        <v>59322762</v>
      </c>
      <c r="H67" s="34">
        <f t="shared" si="2"/>
        <v>1</v>
      </c>
      <c r="I67" s="34">
        <f t="shared" si="3"/>
        <v>0</v>
      </c>
      <c r="J67" s="34">
        <f t="shared" si="4"/>
        <v>1</v>
      </c>
    </row>
    <row r="68">
      <c r="A68" s="34" t="s">
        <v>285</v>
      </c>
      <c r="B68" s="35">
        <v>4.8E9</v>
      </c>
      <c r="C68" s="35">
        <v>6849000.0</v>
      </c>
      <c r="D68" s="36">
        <v>6849000.0</v>
      </c>
      <c r="E68" s="36">
        <v>6849000.0</v>
      </c>
      <c r="F68" s="37">
        <f t="shared" si="1"/>
        <v>0.001426875</v>
      </c>
      <c r="G68" s="36">
        <f>IF(F68="",B68*Summary!$C$22,E68)</f>
        <v>6849000</v>
      </c>
      <c r="H68" s="34">
        <f t="shared" si="2"/>
        <v>1</v>
      </c>
      <c r="I68" s="34">
        <f t="shared" si="3"/>
        <v>0</v>
      </c>
      <c r="J68" s="34">
        <f t="shared" si="4"/>
        <v>1</v>
      </c>
    </row>
    <row r="69">
      <c r="A69" s="34" t="s">
        <v>288</v>
      </c>
      <c r="B69" s="35">
        <v>4.8E9</v>
      </c>
      <c r="C69" s="35">
        <v>5884000.0</v>
      </c>
      <c r="D69" s="36">
        <v>5884000.0</v>
      </c>
      <c r="E69" s="36">
        <v>5884000.0</v>
      </c>
      <c r="F69" s="37">
        <f t="shared" si="1"/>
        <v>0.001225833333</v>
      </c>
      <c r="G69" s="36">
        <f>IF(F69="",B69*Summary!$C$22,E69)</f>
        <v>5884000</v>
      </c>
      <c r="H69" s="34">
        <f t="shared" si="2"/>
        <v>1</v>
      </c>
      <c r="I69" s="34">
        <f t="shared" si="3"/>
        <v>0</v>
      </c>
      <c r="J69" s="34">
        <f t="shared" si="4"/>
        <v>1</v>
      </c>
    </row>
    <row r="70">
      <c r="A70" s="34" t="s">
        <v>291</v>
      </c>
      <c r="B70" s="35">
        <v>4.8E9</v>
      </c>
      <c r="C70" s="35">
        <v>1.3269963E7</v>
      </c>
      <c r="D70" s="36">
        <v>2.5671792E7</v>
      </c>
      <c r="E70" s="36">
        <v>2.5671792E7</v>
      </c>
      <c r="F70" s="37">
        <f t="shared" si="1"/>
        <v>0.00534829</v>
      </c>
      <c r="G70" s="36">
        <f>IF(F70="",B70*Summary!$C$22,E70)</f>
        <v>25671792</v>
      </c>
      <c r="H70" s="34">
        <f t="shared" si="2"/>
        <v>1</v>
      </c>
      <c r="I70" s="34">
        <f t="shared" si="3"/>
        <v>0</v>
      </c>
      <c r="J70" s="34">
        <f t="shared" si="4"/>
        <v>1</v>
      </c>
    </row>
    <row r="71">
      <c r="A71" s="34" t="s">
        <v>295</v>
      </c>
      <c r="B71" s="35">
        <v>4.8E9</v>
      </c>
      <c r="C71" s="35">
        <v>7809894.0</v>
      </c>
      <c r="D71" s="36">
        <v>9.0E7</v>
      </c>
      <c r="E71" s="36">
        <v>9.0E7</v>
      </c>
      <c r="F71" s="37">
        <f t="shared" si="1"/>
        <v>0.01875</v>
      </c>
      <c r="G71" s="36">
        <f>IF(F71="",B71*Summary!$C$22,E71)</f>
        <v>90000000</v>
      </c>
      <c r="H71" s="34">
        <f t="shared" si="2"/>
        <v>1</v>
      </c>
      <c r="I71" s="34">
        <f t="shared" si="3"/>
        <v>0</v>
      </c>
      <c r="J71" s="34">
        <f t="shared" si="4"/>
        <v>1</v>
      </c>
    </row>
    <row r="72">
      <c r="A72" s="34" t="s">
        <v>299</v>
      </c>
      <c r="B72" s="35">
        <v>4.5E9</v>
      </c>
      <c r="C72" s="35"/>
      <c r="D72" s="34"/>
      <c r="E72" s="36"/>
      <c r="F72" s="37" t="str">
        <f t="shared" si="1"/>
        <v/>
      </c>
      <c r="G72" s="36">
        <f>IF(F72="",B72*Summary!$C$22,E72)</f>
        <v>28621607.14</v>
      </c>
      <c r="H72" s="34">
        <f t="shared" si="2"/>
        <v>0</v>
      </c>
      <c r="I72" s="34">
        <f t="shared" si="3"/>
        <v>0</v>
      </c>
      <c r="J72" s="34">
        <f t="shared" si="4"/>
        <v>0</v>
      </c>
    </row>
    <row r="73">
      <c r="A73" s="34" t="s">
        <v>301</v>
      </c>
      <c r="B73" s="35">
        <v>4.4E9</v>
      </c>
      <c r="C73" s="35"/>
      <c r="D73" s="34"/>
      <c r="E73" s="36"/>
      <c r="F73" s="37" t="str">
        <f t="shared" si="1"/>
        <v/>
      </c>
      <c r="G73" s="36">
        <f>IF(F73="",B73*Summary!$C$22,E73)</f>
        <v>27985571.43</v>
      </c>
      <c r="H73" s="34">
        <f t="shared" si="2"/>
        <v>0</v>
      </c>
      <c r="I73" s="34">
        <f t="shared" si="3"/>
        <v>0</v>
      </c>
      <c r="J73" s="34">
        <f t="shared" si="4"/>
        <v>0</v>
      </c>
    </row>
    <row r="74">
      <c r="A74" s="34" t="s">
        <v>304</v>
      </c>
      <c r="B74" s="35">
        <v>4.4E9</v>
      </c>
      <c r="C74" s="35">
        <v>1.95E8</v>
      </c>
      <c r="D74" s="36">
        <v>1.95E8</v>
      </c>
      <c r="E74" s="36">
        <v>1.95E8</v>
      </c>
      <c r="F74" s="37">
        <f t="shared" si="1"/>
        <v>0.04431818182</v>
      </c>
      <c r="G74" s="36">
        <f>IF(F74="",B74*Summary!$C$22,E74)</f>
        <v>195000000</v>
      </c>
      <c r="H74" s="34">
        <f t="shared" si="2"/>
        <v>1</v>
      </c>
      <c r="I74" s="34">
        <f t="shared" si="3"/>
        <v>0</v>
      </c>
      <c r="J74" s="34">
        <f t="shared" si="4"/>
        <v>1</v>
      </c>
    </row>
    <row r="75">
      <c r="A75" s="34" t="s">
        <v>306</v>
      </c>
      <c r="B75" s="35">
        <v>4.3E9</v>
      </c>
      <c r="C75" s="35"/>
      <c r="D75" s="34"/>
      <c r="E75" s="36"/>
      <c r="F75" s="37" t="str">
        <f t="shared" si="1"/>
        <v/>
      </c>
      <c r="G75" s="36">
        <f>IF(F75="",B75*Summary!$C$22,E75)</f>
        <v>27349535.71</v>
      </c>
      <c r="H75" s="34">
        <f t="shared" si="2"/>
        <v>0</v>
      </c>
      <c r="I75" s="34">
        <f t="shared" si="3"/>
        <v>0</v>
      </c>
      <c r="J75" s="34">
        <f t="shared" si="4"/>
        <v>0</v>
      </c>
    </row>
    <row r="76">
      <c r="A76" s="34" t="s">
        <v>309</v>
      </c>
      <c r="B76" s="35">
        <v>4.3E9</v>
      </c>
      <c r="C76" s="35">
        <v>1.1443465E7</v>
      </c>
      <c r="D76" s="36">
        <v>2.9825465E7</v>
      </c>
      <c r="E76" s="36">
        <v>2.9825465E7</v>
      </c>
      <c r="F76" s="37">
        <f t="shared" si="1"/>
        <v>0.006936154651</v>
      </c>
      <c r="G76" s="36">
        <f>IF(F76="",B76*Summary!$C$22,E76)</f>
        <v>29825465</v>
      </c>
      <c r="H76" s="34">
        <f t="shared" si="2"/>
        <v>1</v>
      </c>
      <c r="I76" s="34">
        <f t="shared" si="3"/>
        <v>0</v>
      </c>
      <c r="J76" s="34">
        <f t="shared" si="4"/>
        <v>1</v>
      </c>
    </row>
    <row r="77">
      <c r="A77" s="34" t="s">
        <v>314</v>
      </c>
      <c r="B77" s="35">
        <v>4.1E9</v>
      </c>
      <c r="C77" s="35"/>
      <c r="D77" s="34"/>
      <c r="E77" s="36"/>
      <c r="F77" s="37" t="str">
        <f t="shared" si="1"/>
        <v/>
      </c>
      <c r="G77" s="36">
        <f>IF(F77="",B77*Summary!$C$22,E77)</f>
        <v>26077464.29</v>
      </c>
      <c r="H77" s="34">
        <f t="shared" si="2"/>
        <v>0</v>
      </c>
      <c r="I77" s="34">
        <f t="shared" si="3"/>
        <v>0</v>
      </c>
      <c r="J77" s="34">
        <f t="shared" si="4"/>
        <v>0</v>
      </c>
    </row>
    <row r="78">
      <c r="A78" s="34" t="s">
        <v>316</v>
      </c>
      <c r="B78" s="35">
        <v>4.0E9</v>
      </c>
      <c r="C78" s="35"/>
      <c r="D78" s="34"/>
      <c r="E78" s="36"/>
      <c r="F78" s="37" t="str">
        <f t="shared" si="1"/>
        <v/>
      </c>
      <c r="G78" s="36">
        <f>IF(F78="",B78*Summary!$C$22,E78)</f>
        <v>25441428.57</v>
      </c>
      <c r="H78" s="34">
        <f t="shared" si="2"/>
        <v>0</v>
      </c>
      <c r="I78" s="34">
        <f t="shared" si="3"/>
        <v>0</v>
      </c>
      <c r="J78" s="34">
        <f t="shared" si="4"/>
        <v>0</v>
      </c>
    </row>
    <row r="79">
      <c r="A79" s="34" t="s">
        <v>319</v>
      </c>
      <c r="B79" s="35">
        <v>4.0E9</v>
      </c>
      <c r="C79" s="35"/>
      <c r="D79" s="34"/>
      <c r="E79" s="36"/>
      <c r="F79" s="37" t="str">
        <f t="shared" si="1"/>
        <v/>
      </c>
      <c r="G79" s="36">
        <f>IF(F79="",B79*Summary!$C$22,E79)</f>
        <v>25441428.57</v>
      </c>
      <c r="H79" s="34">
        <f t="shared" si="2"/>
        <v>0</v>
      </c>
      <c r="I79" s="34">
        <f t="shared" si="3"/>
        <v>0</v>
      </c>
      <c r="J79" s="34">
        <f t="shared" si="4"/>
        <v>0</v>
      </c>
    </row>
    <row r="80">
      <c r="A80" s="34" t="s">
        <v>320</v>
      </c>
      <c r="B80" s="35">
        <v>3.8E9</v>
      </c>
      <c r="C80" s="35">
        <v>5.0E7</v>
      </c>
      <c r="D80" s="36">
        <v>5.0E7</v>
      </c>
      <c r="E80" s="36">
        <v>5.0E7</v>
      </c>
      <c r="F80" s="37">
        <f t="shared" si="1"/>
        <v>0.01315789474</v>
      </c>
      <c r="G80" s="36">
        <f>IF(F80="",B80*Summary!$C$22,E80)</f>
        <v>50000000</v>
      </c>
      <c r="H80" s="34">
        <f t="shared" si="2"/>
        <v>1</v>
      </c>
      <c r="I80" s="34">
        <f t="shared" si="3"/>
        <v>0</v>
      </c>
      <c r="J80" s="34">
        <f t="shared" si="4"/>
        <v>1</v>
      </c>
    </row>
    <row r="81">
      <c r="A81" s="34" t="s">
        <v>323</v>
      </c>
      <c r="B81" s="35">
        <v>3.8E9</v>
      </c>
      <c r="C81" s="35">
        <v>6500000.0</v>
      </c>
      <c r="D81" s="36">
        <v>6500000.0</v>
      </c>
      <c r="E81" s="36">
        <v>6500000.0</v>
      </c>
      <c r="F81" s="37">
        <f t="shared" si="1"/>
        <v>0.001710526316</v>
      </c>
      <c r="G81" s="36">
        <f>IF(F81="",B81*Summary!$C$22,E81)</f>
        <v>6500000</v>
      </c>
      <c r="H81" s="34">
        <f t="shared" si="2"/>
        <v>1</v>
      </c>
      <c r="I81" s="34">
        <f t="shared" si="3"/>
        <v>0</v>
      </c>
      <c r="J81" s="34">
        <f t="shared" si="4"/>
        <v>1</v>
      </c>
    </row>
    <row r="82">
      <c r="A82" s="34" t="s">
        <v>326</v>
      </c>
      <c r="B82" s="35">
        <v>3.8E9</v>
      </c>
      <c r="C82" s="35">
        <v>2.1E7</v>
      </c>
      <c r="D82" s="34"/>
      <c r="E82" s="36">
        <v>2.1E7</v>
      </c>
      <c r="F82" s="37">
        <f t="shared" si="1"/>
        <v>0.005526315789</v>
      </c>
      <c r="G82" s="36">
        <f>IF(F82="",B82*Summary!$C$22,E82)</f>
        <v>21000000</v>
      </c>
      <c r="H82" s="34">
        <f t="shared" si="2"/>
        <v>1</v>
      </c>
      <c r="I82" s="34">
        <f t="shared" si="3"/>
        <v>1</v>
      </c>
      <c r="J82" s="34">
        <f t="shared" si="4"/>
        <v>0</v>
      </c>
    </row>
    <row r="83">
      <c r="A83" s="34" t="s">
        <v>328</v>
      </c>
      <c r="B83" s="35">
        <v>3.8E9</v>
      </c>
      <c r="C83" s="35">
        <v>1977425.0</v>
      </c>
      <c r="D83" s="34"/>
      <c r="E83" s="36">
        <v>1977425.0</v>
      </c>
      <c r="F83" s="37">
        <f t="shared" si="1"/>
        <v>0.000520375</v>
      </c>
      <c r="G83" s="36">
        <f>IF(F83="",B83*Summary!$C$22,E83)</f>
        <v>1977425</v>
      </c>
      <c r="H83" s="34">
        <f t="shared" si="2"/>
        <v>1</v>
      </c>
      <c r="I83" s="34">
        <f t="shared" si="3"/>
        <v>1</v>
      </c>
      <c r="J83" s="34">
        <f t="shared" si="4"/>
        <v>0</v>
      </c>
    </row>
    <row r="84">
      <c r="A84" s="34" t="s">
        <v>332</v>
      </c>
      <c r="B84" s="35">
        <v>3.7E9</v>
      </c>
      <c r="C84" s="35">
        <v>2.925E7</v>
      </c>
      <c r="D84" s="34"/>
      <c r="E84" s="36">
        <v>2.925E7</v>
      </c>
      <c r="F84" s="37">
        <f t="shared" si="1"/>
        <v>0.007905405405</v>
      </c>
      <c r="G84" s="36">
        <f>IF(F84="",B84*Summary!$C$22,E84)</f>
        <v>29250000</v>
      </c>
      <c r="H84" s="34">
        <f t="shared" si="2"/>
        <v>1</v>
      </c>
      <c r="I84" s="34">
        <f t="shared" si="3"/>
        <v>1</v>
      </c>
      <c r="J84" s="34">
        <f t="shared" si="4"/>
        <v>0</v>
      </c>
    </row>
    <row r="85">
      <c r="A85" s="34" t="s">
        <v>336</v>
      </c>
      <c r="B85" s="35">
        <v>3.7E9</v>
      </c>
      <c r="C85" s="35">
        <v>3.0E7</v>
      </c>
      <c r="D85" s="34"/>
      <c r="E85" s="36">
        <v>3.0E7</v>
      </c>
      <c r="F85" s="37">
        <f t="shared" si="1"/>
        <v>0.008108108108</v>
      </c>
      <c r="G85" s="36">
        <f>IF(F85="",B85*Summary!$C$22,E85)</f>
        <v>30000000</v>
      </c>
      <c r="H85" s="34">
        <f t="shared" si="2"/>
        <v>1</v>
      </c>
      <c r="I85" s="34">
        <f t="shared" si="3"/>
        <v>1</v>
      </c>
      <c r="J85" s="34">
        <f t="shared" si="4"/>
        <v>0</v>
      </c>
    </row>
    <row r="86">
      <c r="A86" s="34" t="s">
        <v>338</v>
      </c>
      <c r="B86" s="35">
        <v>3.7E9</v>
      </c>
      <c r="C86" s="35"/>
      <c r="D86" s="34"/>
      <c r="E86" s="36"/>
      <c r="F86" s="37" t="str">
        <f t="shared" si="1"/>
        <v/>
      </c>
      <c r="G86" s="36">
        <f>IF(F86="",B86*Summary!$C$22,E86)</f>
        <v>23533321.43</v>
      </c>
      <c r="H86" s="34">
        <f t="shared" si="2"/>
        <v>0</v>
      </c>
      <c r="I86" s="34">
        <f t="shared" si="3"/>
        <v>0</v>
      </c>
      <c r="J86" s="34">
        <f t="shared" si="4"/>
        <v>0</v>
      </c>
    </row>
    <row r="87">
      <c r="A87" s="34" t="s">
        <v>340</v>
      </c>
      <c r="B87" s="35">
        <v>3.7E9</v>
      </c>
      <c r="C87" s="35"/>
      <c r="D87" s="34"/>
      <c r="E87" s="36"/>
      <c r="F87" s="37" t="str">
        <f t="shared" si="1"/>
        <v/>
      </c>
      <c r="G87" s="36">
        <f>IF(F87="",B87*Summary!$C$22,E87)</f>
        <v>23533321.43</v>
      </c>
      <c r="H87" s="34">
        <f t="shared" si="2"/>
        <v>0</v>
      </c>
      <c r="I87" s="34">
        <f t="shared" si="3"/>
        <v>0</v>
      </c>
      <c r="J87" s="34">
        <f t="shared" si="4"/>
        <v>0</v>
      </c>
    </row>
    <row r="88">
      <c r="A88" s="34" t="s">
        <v>341</v>
      </c>
      <c r="B88" s="35">
        <v>3.7E9</v>
      </c>
      <c r="C88" s="35">
        <v>2572000.0</v>
      </c>
      <c r="D88" s="34"/>
      <c r="E88" s="36">
        <v>2572000.0</v>
      </c>
      <c r="F88" s="37">
        <f t="shared" si="1"/>
        <v>0.0006951351351</v>
      </c>
      <c r="G88" s="36">
        <f>IF(F88="",B88*Summary!$C$22,E88)</f>
        <v>2572000</v>
      </c>
      <c r="H88" s="34">
        <f t="shared" si="2"/>
        <v>1</v>
      </c>
      <c r="I88" s="34">
        <f t="shared" si="3"/>
        <v>1</v>
      </c>
      <c r="J88" s="34">
        <f t="shared" si="4"/>
        <v>0</v>
      </c>
    </row>
    <row r="89">
      <c r="A89" s="34" t="s">
        <v>344</v>
      </c>
      <c r="B89" s="35">
        <v>3.7E9</v>
      </c>
      <c r="C89" s="35"/>
      <c r="D89" s="34"/>
      <c r="E89" s="36"/>
      <c r="F89" s="37" t="str">
        <f t="shared" si="1"/>
        <v/>
      </c>
      <c r="G89" s="36">
        <f>IF(F89="",B89*Summary!$C$22,E89)</f>
        <v>23533321.43</v>
      </c>
      <c r="H89" s="34">
        <f t="shared" si="2"/>
        <v>0</v>
      </c>
      <c r="I89" s="34">
        <f t="shared" si="3"/>
        <v>0</v>
      </c>
      <c r="J89" s="34">
        <f t="shared" si="4"/>
        <v>0</v>
      </c>
    </row>
    <row r="90">
      <c r="A90" s="34" t="s">
        <v>345</v>
      </c>
      <c r="B90" s="35">
        <v>3.7E9</v>
      </c>
      <c r="C90" s="35">
        <v>4831145.0</v>
      </c>
      <c r="D90" s="34"/>
      <c r="E90" s="36">
        <v>4831145.0</v>
      </c>
      <c r="F90" s="37">
        <f t="shared" si="1"/>
        <v>0.001305714865</v>
      </c>
      <c r="G90" s="36">
        <f>IF(F90="",B90*Summary!$C$22,E90)</f>
        <v>4831145</v>
      </c>
      <c r="H90" s="34">
        <f t="shared" si="2"/>
        <v>1</v>
      </c>
      <c r="I90" s="34">
        <f t="shared" si="3"/>
        <v>1</v>
      </c>
      <c r="J90" s="34">
        <f t="shared" si="4"/>
        <v>0</v>
      </c>
    </row>
    <row r="91">
      <c r="A91" s="34" t="s">
        <v>348</v>
      </c>
      <c r="B91" s="35">
        <v>3.7E9</v>
      </c>
      <c r="C91" s="35"/>
      <c r="D91" s="34"/>
      <c r="E91" s="36"/>
      <c r="F91" s="37" t="str">
        <f t="shared" si="1"/>
        <v/>
      </c>
      <c r="G91" s="36">
        <f>IF(F91="",B91*Summary!$C$22,E91)</f>
        <v>23533321.43</v>
      </c>
      <c r="H91" s="34">
        <f t="shared" si="2"/>
        <v>0</v>
      </c>
      <c r="I91" s="34">
        <f t="shared" si="3"/>
        <v>0</v>
      </c>
      <c r="J91" s="34">
        <f t="shared" si="4"/>
        <v>0</v>
      </c>
    </row>
    <row r="92">
      <c r="A92" s="34" t="s">
        <v>349</v>
      </c>
      <c r="B92" s="35">
        <v>3.6E9</v>
      </c>
      <c r="C92" s="35">
        <v>1.2982483E7</v>
      </c>
      <c r="D92" s="34"/>
      <c r="E92" s="36">
        <v>1.2982483E7</v>
      </c>
      <c r="F92" s="37">
        <f t="shared" si="1"/>
        <v>0.003606245278</v>
      </c>
      <c r="G92" s="36">
        <f>IF(F92="",B92*Summary!$C$22,E92)</f>
        <v>12982483</v>
      </c>
      <c r="H92" s="34">
        <f t="shared" si="2"/>
        <v>1</v>
      </c>
      <c r="I92" s="34">
        <f t="shared" si="3"/>
        <v>1</v>
      </c>
      <c r="J92" s="34">
        <f t="shared" si="4"/>
        <v>0</v>
      </c>
    </row>
    <row r="93">
      <c r="A93" s="34" t="s">
        <v>353</v>
      </c>
      <c r="B93" s="35">
        <v>3.6E9</v>
      </c>
      <c r="C93" s="35"/>
      <c r="D93" s="34"/>
      <c r="E93" s="36"/>
      <c r="F93" s="37" t="str">
        <f t="shared" si="1"/>
        <v/>
      </c>
      <c r="G93" s="36">
        <f>IF(F93="",B93*Summary!$C$22,E93)</f>
        <v>22897285.71</v>
      </c>
      <c r="H93" s="34">
        <f t="shared" si="2"/>
        <v>0</v>
      </c>
      <c r="I93" s="34">
        <f t="shared" si="3"/>
        <v>0</v>
      </c>
      <c r="J93" s="34">
        <f t="shared" si="4"/>
        <v>0</v>
      </c>
    </row>
    <row r="94">
      <c r="A94" s="34" t="s">
        <v>355</v>
      </c>
      <c r="B94" s="35">
        <v>3.6E9</v>
      </c>
      <c r="C94" s="35">
        <v>1.3784748E7</v>
      </c>
      <c r="D94" s="34"/>
      <c r="E94" s="36">
        <v>1.3784748E7</v>
      </c>
      <c r="F94" s="37">
        <f t="shared" si="1"/>
        <v>0.003829096667</v>
      </c>
      <c r="G94" s="36">
        <f>IF(F94="",B94*Summary!$C$22,E94)</f>
        <v>13784748</v>
      </c>
      <c r="H94" s="34">
        <f t="shared" si="2"/>
        <v>1</v>
      </c>
      <c r="I94" s="34">
        <f t="shared" si="3"/>
        <v>1</v>
      </c>
      <c r="J94" s="34">
        <f t="shared" si="4"/>
        <v>0</v>
      </c>
    </row>
    <row r="95">
      <c r="A95" s="34" t="s">
        <v>358</v>
      </c>
      <c r="B95" s="35">
        <v>3.5E9</v>
      </c>
      <c r="C95" s="35"/>
      <c r="D95" s="34"/>
      <c r="E95" s="36"/>
      <c r="F95" s="37" t="str">
        <f t="shared" si="1"/>
        <v/>
      </c>
      <c r="G95" s="36">
        <f>IF(F95="",B95*Summary!$C$22,E95)</f>
        <v>22261250</v>
      </c>
      <c r="H95" s="34">
        <f t="shared" si="2"/>
        <v>0</v>
      </c>
      <c r="I95" s="34">
        <f t="shared" si="3"/>
        <v>0</v>
      </c>
      <c r="J95" s="34">
        <f t="shared" si="4"/>
        <v>0</v>
      </c>
    </row>
    <row r="96">
      <c r="A96" s="34" t="s">
        <v>360</v>
      </c>
      <c r="B96" s="35">
        <v>3.5E9</v>
      </c>
      <c r="C96" s="35">
        <v>8.6E7</v>
      </c>
      <c r="D96" s="34"/>
      <c r="E96" s="36">
        <v>8.6E7</v>
      </c>
      <c r="F96" s="37">
        <f t="shared" si="1"/>
        <v>0.02457142857</v>
      </c>
      <c r="G96" s="36">
        <f>IF(F96="",B96*Summary!$C$22,E96)</f>
        <v>86000000</v>
      </c>
      <c r="H96" s="34">
        <f t="shared" si="2"/>
        <v>1</v>
      </c>
      <c r="I96" s="34">
        <f t="shared" si="3"/>
        <v>1</v>
      </c>
      <c r="J96" s="34">
        <f t="shared" si="4"/>
        <v>0</v>
      </c>
    </row>
    <row r="97">
      <c r="A97" s="34" t="s">
        <v>363</v>
      </c>
      <c r="B97" s="35">
        <v>3.5E9</v>
      </c>
      <c r="C97" s="35">
        <v>4.33E7</v>
      </c>
      <c r="D97" s="34"/>
      <c r="E97" s="36">
        <v>4.33E7</v>
      </c>
      <c r="F97" s="37">
        <f t="shared" si="1"/>
        <v>0.01237142857</v>
      </c>
      <c r="G97" s="36">
        <f>IF(F97="",B97*Summary!$C$22,E97)</f>
        <v>43300000</v>
      </c>
      <c r="H97" s="34">
        <f t="shared" si="2"/>
        <v>1</v>
      </c>
      <c r="I97" s="34">
        <f t="shared" si="3"/>
        <v>1</v>
      </c>
      <c r="J97" s="34">
        <f t="shared" si="4"/>
        <v>0</v>
      </c>
    </row>
    <row r="98">
      <c r="A98" s="34" t="s">
        <v>365</v>
      </c>
      <c r="B98" s="35">
        <v>3.5E9</v>
      </c>
      <c r="C98" s="35">
        <v>1.25E7</v>
      </c>
      <c r="D98" s="34"/>
      <c r="E98" s="36">
        <v>1.25E7</v>
      </c>
      <c r="F98" s="37">
        <f t="shared" si="1"/>
        <v>0.003571428571</v>
      </c>
      <c r="G98" s="36">
        <f>IF(F98="",B98*Summary!$C$22,E98)</f>
        <v>12500000</v>
      </c>
      <c r="H98" s="34">
        <f t="shared" si="2"/>
        <v>1</v>
      </c>
      <c r="I98" s="34">
        <f t="shared" si="3"/>
        <v>1</v>
      </c>
      <c r="J98" s="34">
        <f t="shared" si="4"/>
        <v>0</v>
      </c>
    </row>
    <row r="99">
      <c r="A99" s="34" t="s">
        <v>369</v>
      </c>
      <c r="B99" s="35">
        <v>3.4E9</v>
      </c>
      <c r="C99" s="35"/>
      <c r="D99" s="34"/>
      <c r="E99" s="36"/>
      <c r="F99" s="37" t="str">
        <f t="shared" si="1"/>
        <v/>
      </c>
      <c r="G99" s="36">
        <f>IF(F99="",B99*Summary!$C$22,E99)</f>
        <v>21625214.29</v>
      </c>
      <c r="H99" s="34">
        <f t="shared" si="2"/>
        <v>0</v>
      </c>
      <c r="I99" s="34">
        <f t="shared" si="3"/>
        <v>0</v>
      </c>
      <c r="J99" s="34">
        <f t="shared" si="4"/>
        <v>0</v>
      </c>
    </row>
    <row r="100">
      <c r="A100" s="34" t="s">
        <v>371</v>
      </c>
      <c r="B100" s="35">
        <v>3.3E9</v>
      </c>
      <c r="C100" s="35">
        <v>1.02433E7</v>
      </c>
      <c r="D100" s="34"/>
      <c r="E100" s="36">
        <v>1.02433E7</v>
      </c>
      <c r="F100" s="37">
        <f t="shared" si="1"/>
        <v>0.003104030303</v>
      </c>
      <c r="G100" s="36">
        <f>IF(F100="",B100*Summary!$C$22,E100)</f>
        <v>10243300</v>
      </c>
      <c r="H100" s="34">
        <f t="shared" si="2"/>
        <v>1</v>
      </c>
      <c r="I100" s="34">
        <f t="shared" si="3"/>
        <v>1</v>
      </c>
      <c r="J100" s="34">
        <f t="shared" si="4"/>
        <v>0</v>
      </c>
    </row>
    <row r="101">
      <c r="A101" s="34" t="s">
        <v>375</v>
      </c>
      <c r="B101" s="35">
        <v>3.2E9</v>
      </c>
      <c r="C101" s="35">
        <v>4.2E7</v>
      </c>
      <c r="D101" s="34"/>
      <c r="E101" s="36">
        <v>4.2E7</v>
      </c>
      <c r="F101" s="37">
        <f t="shared" si="1"/>
        <v>0.013125</v>
      </c>
      <c r="G101" s="36">
        <f>IF(F101="",B101*Summary!$C$22,E101)</f>
        <v>42000000</v>
      </c>
      <c r="H101" s="34">
        <f t="shared" si="2"/>
        <v>1</v>
      </c>
      <c r="I101" s="34">
        <f t="shared" si="3"/>
        <v>1</v>
      </c>
      <c r="J101" s="34">
        <f t="shared" si="4"/>
        <v>0</v>
      </c>
    </row>
    <row r="102">
      <c r="A102" s="34" t="s">
        <v>379</v>
      </c>
      <c r="B102" s="35">
        <v>3.2E9</v>
      </c>
      <c r="C102" s="35">
        <v>2.825E7</v>
      </c>
      <c r="D102" s="34"/>
      <c r="E102" s="36">
        <v>2.825E7</v>
      </c>
      <c r="F102" s="37">
        <f t="shared" si="1"/>
        <v>0.008828125</v>
      </c>
      <c r="G102" s="36">
        <f>IF(F102="",B102*Summary!$C$22,E102)</f>
        <v>28250000</v>
      </c>
      <c r="H102" s="34">
        <f t="shared" si="2"/>
        <v>1</v>
      </c>
      <c r="I102" s="34">
        <f t="shared" si="3"/>
        <v>1</v>
      </c>
      <c r="J102" s="34">
        <f t="shared" si="4"/>
        <v>0</v>
      </c>
    </row>
    <row r="103">
      <c r="A103" s="34" t="s">
        <v>381</v>
      </c>
      <c r="B103" s="35">
        <v>3.2E9</v>
      </c>
      <c r="C103" s="35"/>
      <c r="D103" s="34"/>
      <c r="E103" s="36"/>
      <c r="F103" s="37" t="str">
        <f t="shared" si="1"/>
        <v/>
      </c>
      <c r="G103" s="36">
        <f>IF(F103="",B103*Summary!$C$22,E103)</f>
        <v>20353142.86</v>
      </c>
      <c r="H103" s="34">
        <f t="shared" si="2"/>
        <v>0</v>
      </c>
      <c r="I103" s="34">
        <f t="shared" si="3"/>
        <v>0</v>
      </c>
      <c r="J103" s="34">
        <f t="shared" si="4"/>
        <v>0</v>
      </c>
    </row>
    <row r="104">
      <c r="A104" s="34" t="s">
        <v>382</v>
      </c>
      <c r="B104" s="35">
        <v>3.2E9</v>
      </c>
      <c r="C104" s="35">
        <v>5.75E7</v>
      </c>
      <c r="D104" s="34"/>
      <c r="E104" s="36">
        <v>5.75E7</v>
      </c>
      <c r="F104" s="37">
        <f t="shared" si="1"/>
        <v>0.01796875</v>
      </c>
      <c r="G104" s="36">
        <f>IF(F104="",B104*Summary!$C$22,E104)</f>
        <v>57500000</v>
      </c>
      <c r="H104" s="34">
        <f t="shared" si="2"/>
        <v>1</v>
      </c>
      <c r="I104" s="34">
        <f t="shared" si="3"/>
        <v>1</v>
      </c>
      <c r="J104" s="34">
        <f t="shared" si="4"/>
        <v>0</v>
      </c>
    </row>
    <row r="105">
      <c r="A105" s="34" t="s">
        <v>384</v>
      </c>
      <c r="B105" s="35">
        <v>3.2E9</v>
      </c>
      <c r="C105" s="35"/>
      <c r="D105" s="34"/>
      <c r="E105" s="36"/>
      <c r="F105" s="37" t="str">
        <f t="shared" si="1"/>
        <v/>
      </c>
      <c r="G105" s="36">
        <f>IF(F105="",B105*Summary!$C$22,E105)</f>
        <v>20353142.86</v>
      </c>
      <c r="H105" s="34">
        <f t="shared" si="2"/>
        <v>0</v>
      </c>
      <c r="I105" s="34">
        <f t="shared" si="3"/>
        <v>0</v>
      </c>
      <c r="J105" s="34">
        <f t="shared" si="4"/>
        <v>0</v>
      </c>
    </row>
    <row r="106">
      <c r="A106" s="34" t="s">
        <v>385</v>
      </c>
      <c r="B106" s="35">
        <v>3.2E9</v>
      </c>
      <c r="C106" s="35"/>
      <c r="D106" s="34"/>
      <c r="E106" s="36"/>
      <c r="F106" s="37" t="str">
        <f t="shared" si="1"/>
        <v/>
      </c>
      <c r="G106" s="36">
        <f>IF(F106="",B106*Summary!$C$22,E106)</f>
        <v>20353142.86</v>
      </c>
      <c r="H106" s="34">
        <f t="shared" si="2"/>
        <v>0</v>
      </c>
      <c r="I106" s="34">
        <f t="shared" si="3"/>
        <v>0</v>
      </c>
      <c r="J106" s="34">
        <f t="shared" si="4"/>
        <v>0</v>
      </c>
    </row>
    <row r="107">
      <c r="A107" s="34" t="s">
        <v>386</v>
      </c>
      <c r="B107" s="35">
        <v>3.1E9</v>
      </c>
      <c r="C107" s="35">
        <v>1.5563106E7</v>
      </c>
      <c r="D107" s="34"/>
      <c r="E107" s="36">
        <v>1.5563106E7</v>
      </c>
      <c r="F107" s="37">
        <f t="shared" si="1"/>
        <v>0.005020356774</v>
      </c>
      <c r="G107" s="36">
        <f>IF(F107="",B107*Summary!$C$22,E107)</f>
        <v>15563106</v>
      </c>
      <c r="H107" s="34">
        <f t="shared" si="2"/>
        <v>1</v>
      </c>
      <c r="I107" s="34">
        <f t="shared" si="3"/>
        <v>1</v>
      </c>
      <c r="J107" s="34">
        <f t="shared" si="4"/>
        <v>0</v>
      </c>
    </row>
    <row r="108">
      <c r="A108" s="34" t="s">
        <v>390</v>
      </c>
      <c r="B108" s="35">
        <v>3.1E9</v>
      </c>
      <c r="C108" s="35">
        <v>5.0E7</v>
      </c>
      <c r="D108" s="36">
        <v>1.5E8</v>
      </c>
      <c r="E108" s="36">
        <v>1.5E8</v>
      </c>
      <c r="F108" s="37">
        <f t="shared" si="1"/>
        <v>0.04838709677</v>
      </c>
      <c r="G108" s="36">
        <f>IF(F108="",B108*Summary!$C$22,E108)</f>
        <v>150000000</v>
      </c>
      <c r="H108" s="34">
        <f t="shared" si="2"/>
        <v>1</v>
      </c>
      <c r="I108" s="34">
        <f t="shared" si="3"/>
        <v>0</v>
      </c>
      <c r="J108" s="34">
        <f t="shared" si="4"/>
        <v>1</v>
      </c>
    </row>
    <row r="109">
      <c r="A109" s="34" t="s">
        <v>395</v>
      </c>
      <c r="B109" s="35">
        <v>3.0E9</v>
      </c>
      <c r="C109" s="35"/>
      <c r="D109" s="34"/>
      <c r="E109" s="36"/>
      <c r="F109" s="37" t="str">
        <f t="shared" si="1"/>
        <v/>
      </c>
      <c r="G109" s="36">
        <f>IF(F109="",B109*Summary!$C$22,E109)</f>
        <v>19081071.43</v>
      </c>
      <c r="H109" s="34">
        <f t="shared" si="2"/>
        <v>0</v>
      </c>
      <c r="I109" s="34">
        <f t="shared" si="3"/>
        <v>0</v>
      </c>
      <c r="J109" s="34">
        <f t="shared" si="4"/>
        <v>0</v>
      </c>
    </row>
    <row r="110">
      <c r="A110" s="34" t="s">
        <v>397</v>
      </c>
      <c r="B110" s="35">
        <v>3.0E9</v>
      </c>
      <c r="C110" s="35">
        <v>5.5E7</v>
      </c>
      <c r="D110" s="34"/>
      <c r="E110" s="36">
        <v>5.5E7</v>
      </c>
      <c r="F110" s="37">
        <f t="shared" si="1"/>
        <v>0.01833333333</v>
      </c>
      <c r="G110" s="36">
        <f>IF(F110="",B110*Summary!$C$22,E110)</f>
        <v>55000000</v>
      </c>
      <c r="H110" s="34">
        <f t="shared" si="2"/>
        <v>1</v>
      </c>
      <c r="I110" s="34">
        <f t="shared" si="3"/>
        <v>1</v>
      </c>
      <c r="J110" s="34">
        <f t="shared" si="4"/>
        <v>0</v>
      </c>
    </row>
    <row r="111">
      <c r="A111" s="34" t="s">
        <v>399</v>
      </c>
      <c r="B111" s="35">
        <v>2.9E9</v>
      </c>
      <c r="C111" s="35">
        <v>6.31E7</v>
      </c>
      <c r="D111" s="34"/>
      <c r="E111" s="36">
        <v>6.31E7</v>
      </c>
      <c r="F111" s="37">
        <f t="shared" si="1"/>
        <v>0.02175862069</v>
      </c>
      <c r="G111" s="36">
        <f>IF(F111="",B111*Summary!$C$22,E111)</f>
        <v>63100000</v>
      </c>
      <c r="H111" s="34">
        <f t="shared" si="2"/>
        <v>1</v>
      </c>
      <c r="I111" s="34">
        <f t="shared" si="3"/>
        <v>1</v>
      </c>
      <c r="J111" s="34">
        <f t="shared" si="4"/>
        <v>0</v>
      </c>
    </row>
    <row r="112">
      <c r="A112" s="34" t="s">
        <v>402</v>
      </c>
      <c r="B112" s="35">
        <v>2.9E9</v>
      </c>
      <c r="C112" s="35">
        <v>1.2072842E7</v>
      </c>
      <c r="D112" s="34"/>
      <c r="E112" s="36">
        <v>1.2072842E7</v>
      </c>
      <c r="F112" s="37">
        <f t="shared" si="1"/>
        <v>0.004163048966</v>
      </c>
      <c r="G112" s="36">
        <f>IF(F112="",B112*Summary!$C$22,E112)</f>
        <v>12072842</v>
      </c>
      <c r="H112" s="34">
        <f t="shared" si="2"/>
        <v>1</v>
      </c>
      <c r="I112" s="34">
        <f t="shared" si="3"/>
        <v>1</v>
      </c>
      <c r="J112" s="34">
        <f t="shared" si="4"/>
        <v>0</v>
      </c>
    </row>
    <row r="113">
      <c r="A113" s="34" t="s">
        <v>405</v>
      </c>
      <c r="B113" s="35">
        <v>2.8E9</v>
      </c>
      <c r="C113" s="35">
        <v>1.7197E7</v>
      </c>
      <c r="D113" s="34"/>
      <c r="E113" s="36">
        <v>1.7197E7</v>
      </c>
      <c r="F113" s="37">
        <f t="shared" si="1"/>
        <v>0.006141785714</v>
      </c>
      <c r="G113" s="36">
        <f>IF(F113="",B113*Summary!$C$22,E113)</f>
        <v>17197000</v>
      </c>
      <c r="H113" s="34">
        <f t="shared" si="2"/>
        <v>1</v>
      </c>
      <c r="I113" s="34">
        <f t="shared" si="3"/>
        <v>1</v>
      </c>
      <c r="J113" s="34">
        <f t="shared" si="4"/>
        <v>0</v>
      </c>
    </row>
    <row r="114">
      <c r="A114" s="34" t="s">
        <v>408</v>
      </c>
      <c r="B114" s="35">
        <v>2.8E9</v>
      </c>
      <c r="C114" s="35"/>
      <c r="D114" s="34"/>
      <c r="E114" s="36"/>
      <c r="F114" s="37" t="str">
        <f t="shared" si="1"/>
        <v/>
      </c>
      <c r="G114" s="36">
        <f>IF(F114="",B114*Summary!$C$22,E114)</f>
        <v>17809000</v>
      </c>
      <c r="H114" s="34">
        <f t="shared" si="2"/>
        <v>0</v>
      </c>
      <c r="I114" s="34">
        <f t="shared" si="3"/>
        <v>0</v>
      </c>
      <c r="J114" s="34">
        <f t="shared" si="4"/>
        <v>0</v>
      </c>
    </row>
    <row r="115">
      <c r="A115" s="34" t="s">
        <v>411</v>
      </c>
      <c r="B115" s="35">
        <v>2.8E9</v>
      </c>
      <c r="C115" s="35"/>
      <c r="D115" s="34"/>
      <c r="E115" s="36"/>
      <c r="F115" s="37" t="str">
        <f t="shared" si="1"/>
        <v/>
      </c>
      <c r="G115" s="36">
        <f>IF(F115="",B115*Summary!$C$22,E115)</f>
        <v>17809000</v>
      </c>
      <c r="H115" s="34">
        <f t="shared" si="2"/>
        <v>0</v>
      </c>
      <c r="I115" s="34">
        <f t="shared" si="3"/>
        <v>0</v>
      </c>
      <c r="J115" s="34">
        <f t="shared" si="4"/>
        <v>0</v>
      </c>
    </row>
    <row r="116">
      <c r="A116" s="34" t="s">
        <v>413</v>
      </c>
      <c r="B116" s="35">
        <v>2.8E9</v>
      </c>
      <c r="C116" s="35"/>
      <c r="D116" s="34"/>
      <c r="E116" s="36"/>
      <c r="F116" s="37" t="str">
        <f t="shared" si="1"/>
        <v/>
      </c>
      <c r="G116" s="36">
        <f>IF(F116="",B116*Summary!$C$22,E116)</f>
        <v>17809000</v>
      </c>
      <c r="H116" s="34">
        <f t="shared" si="2"/>
        <v>0</v>
      </c>
      <c r="I116" s="34">
        <f t="shared" si="3"/>
        <v>0</v>
      </c>
      <c r="J116" s="34">
        <f t="shared" si="4"/>
        <v>0</v>
      </c>
    </row>
    <row r="117">
      <c r="A117" s="34" t="s">
        <v>414</v>
      </c>
      <c r="B117" s="35">
        <v>2.7E9</v>
      </c>
      <c r="C117" s="35"/>
      <c r="D117" s="34"/>
      <c r="E117" s="36"/>
      <c r="F117" s="37" t="str">
        <f t="shared" si="1"/>
        <v/>
      </c>
      <c r="G117" s="36">
        <f>IF(F117="",B117*Summary!$C$22,E117)</f>
        <v>17172964.29</v>
      </c>
      <c r="H117" s="34">
        <f t="shared" si="2"/>
        <v>0</v>
      </c>
      <c r="I117" s="34">
        <f t="shared" si="3"/>
        <v>0</v>
      </c>
      <c r="J117" s="34">
        <f t="shared" si="4"/>
        <v>0</v>
      </c>
    </row>
    <row r="118">
      <c r="A118" s="34" t="s">
        <v>416</v>
      </c>
      <c r="B118" s="35">
        <v>2.6E9</v>
      </c>
      <c r="C118" s="35"/>
      <c r="D118" s="34"/>
      <c r="E118" s="36"/>
      <c r="F118" s="37" t="str">
        <f t="shared" si="1"/>
        <v/>
      </c>
      <c r="G118" s="36">
        <f>IF(F118="",B118*Summary!$C$22,E118)</f>
        <v>16536928.57</v>
      </c>
      <c r="H118" s="34">
        <f t="shared" si="2"/>
        <v>0</v>
      </c>
      <c r="I118" s="34">
        <f t="shared" si="3"/>
        <v>0</v>
      </c>
      <c r="J118" s="34">
        <f t="shared" si="4"/>
        <v>0</v>
      </c>
    </row>
    <row r="119">
      <c r="A119" s="34" t="s">
        <v>418</v>
      </c>
      <c r="B119" s="35">
        <v>2.6E9</v>
      </c>
      <c r="C119" s="35">
        <v>1.1761216E7</v>
      </c>
      <c r="D119" s="36">
        <v>1.7143216E7</v>
      </c>
      <c r="E119" s="36">
        <v>1.7143216E7</v>
      </c>
      <c r="F119" s="37">
        <f t="shared" si="1"/>
        <v>0.006593544615</v>
      </c>
      <c r="G119" s="36">
        <f>IF(F119="",B119*Summary!$C$22,E119)</f>
        <v>17143216</v>
      </c>
      <c r="H119" s="34">
        <f t="shared" si="2"/>
        <v>1</v>
      </c>
      <c r="I119" s="34">
        <f t="shared" si="3"/>
        <v>0</v>
      </c>
      <c r="J119" s="34">
        <f t="shared" si="4"/>
        <v>1</v>
      </c>
    </row>
    <row r="120">
      <c r="A120" s="34" t="s">
        <v>422</v>
      </c>
      <c r="B120" s="35">
        <v>2.6E9</v>
      </c>
      <c r="C120" s="35">
        <v>1.23E7</v>
      </c>
      <c r="D120" s="34"/>
      <c r="E120" s="36">
        <v>1.23E7</v>
      </c>
      <c r="F120" s="37">
        <f t="shared" si="1"/>
        <v>0.004730769231</v>
      </c>
      <c r="G120" s="36">
        <f>IF(F120="",B120*Summary!$C$22,E120)</f>
        <v>12300000</v>
      </c>
      <c r="H120" s="34">
        <f t="shared" si="2"/>
        <v>1</v>
      </c>
      <c r="I120" s="34">
        <f t="shared" si="3"/>
        <v>1</v>
      </c>
      <c r="J120" s="34">
        <f t="shared" si="4"/>
        <v>0</v>
      </c>
    </row>
    <row r="121">
      <c r="A121" s="34" t="s">
        <v>426</v>
      </c>
      <c r="B121" s="35">
        <v>2.6E9</v>
      </c>
      <c r="C121" s="35">
        <v>1.0E7</v>
      </c>
      <c r="D121" s="34"/>
      <c r="E121" s="36">
        <v>1.0E7</v>
      </c>
      <c r="F121" s="37">
        <f t="shared" si="1"/>
        <v>0.003846153846</v>
      </c>
      <c r="G121" s="36">
        <f>IF(F121="",B121*Summary!$C$22,E121)</f>
        <v>10000000</v>
      </c>
      <c r="H121" s="34">
        <f t="shared" si="2"/>
        <v>1</v>
      </c>
      <c r="I121" s="34">
        <f t="shared" si="3"/>
        <v>1</v>
      </c>
      <c r="J121" s="34">
        <f t="shared" si="4"/>
        <v>0</v>
      </c>
    </row>
    <row r="122">
      <c r="A122" s="34" t="s">
        <v>430</v>
      </c>
      <c r="B122" s="35">
        <v>2.5E9</v>
      </c>
      <c r="C122" s="35"/>
      <c r="D122" s="34"/>
      <c r="E122" s="36"/>
      <c r="F122" s="37" t="str">
        <f t="shared" si="1"/>
        <v/>
      </c>
      <c r="G122" s="36">
        <f>IF(F122="",B122*Summary!$C$22,E122)</f>
        <v>15900892.86</v>
      </c>
      <c r="H122" s="34">
        <f t="shared" si="2"/>
        <v>0</v>
      </c>
      <c r="I122" s="34">
        <f t="shared" si="3"/>
        <v>0</v>
      </c>
      <c r="J122" s="34">
        <f t="shared" si="4"/>
        <v>0</v>
      </c>
    </row>
    <row r="123">
      <c r="A123" s="34" t="s">
        <v>432</v>
      </c>
      <c r="B123" s="35">
        <v>2.5E9</v>
      </c>
      <c r="C123" s="35">
        <v>1.2E8</v>
      </c>
      <c r="D123" s="34"/>
      <c r="E123" s="36">
        <v>1.2E8</v>
      </c>
      <c r="F123" s="37">
        <f t="shared" si="1"/>
        <v>0.048</v>
      </c>
      <c r="G123" s="36">
        <f>IF(F123="",B123*Summary!$C$22,E123)</f>
        <v>120000000</v>
      </c>
      <c r="H123" s="34">
        <f t="shared" si="2"/>
        <v>1</v>
      </c>
      <c r="I123" s="34">
        <f t="shared" si="3"/>
        <v>1</v>
      </c>
      <c r="J123" s="34">
        <f t="shared" si="4"/>
        <v>0</v>
      </c>
    </row>
    <row r="124">
      <c r="A124" s="34" t="s">
        <v>434</v>
      </c>
      <c r="B124" s="35">
        <v>2.5E9</v>
      </c>
      <c r="C124" s="35"/>
      <c r="D124" s="34"/>
      <c r="E124" s="36"/>
      <c r="F124" s="37" t="str">
        <f t="shared" si="1"/>
        <v/>
      </c>
      <c r="G124" s="36">
        <f>IF(F124="",B124*Summary!$C$22,E124)</f>
        <v>15900892.86</v>
      </c>
      <c r="H124" s="34">
        <f t="shared" si="2"/>
        <v>0</v>
      </c>
      <c r="I124" s="34">
        <f t="shared" si="3"/>
        <v>0</v>
      </c>
      <c r="J124" s="34">
        <f t="shared" si="4"/>
        <v>0</v>
      </c>
    </row>
    <row r="125">
      <c r="A125" s="34" t="s">
        <v>438</v>
      </c>
      <c r="B125" s="35">
        <v>2.4E9</v>
      </c>
      <c r="C125" s="35">
        <v>1.1668997E7</v>
      </c>
      <c r="D125" s="34"/>
      <c r="E125" s="36">
        <v>1.1668997E7</v>
      </c>
      <c r="F125" s="37">
        <f t="shared" si="1"/>
        <v>0.004862082083</v>
      </c>
      <c r="G125" s="36">
        <f>IF(F125="",B125*Summary!$C$22,E125)</f>
        <v>11668997</v>
      </c>
      <c r="H125" s="34">
        <f t="shared" si="2"/>
        <v>1</v>
      </c>
      <c r="I125" s="34">
        <f t="shared" si="3"/>
        <v>1</v>
      </c>
      <c r="J125" s="34">
        <f t="shared" si="4"/>
        <v>0</v>
      </c>
    </row>
    <row r="126">
      <c r="A126" s="34" t="s">
        <v>443</v>
      </c>
      <c r="B126" s="35">
        <v>2.4E9</v>
      </c>
      <c r="C126" s="35"/>
      <c r="D126" s="34"/>
      <c r="E126" s="36"/>
      <c r="F126" s="37" t="str">
        <f t="shared" si="1"/>
        <v/>
      </c>
      <c r="G126" s="36">
        <f>IF(F126="",B126*Summary!$C$22,E126)</f>
        <v>15264857.14</v>
      </c>
      <c r="H126" s="34">
        <f t="shared" si="2"/>
        <v>0</v>
      </c>
      <c r="I126" s="34">
        <f t="shared" si="3"/>
        <v>0</v>
      </c>
      <c r="J126" s="34">
        <f t="shared" si="4"/>
        <v>0</v>
      </c>
    </row>
    <row r="127">
      <c r="A127" s="34" t="s">
        <v>445</v>
      </c>
      <c r="B127" s="35">
        <v>2.4E9</v>
      </c>
      <c r="C127" s="35">
        <v>1.3339211E7</v>
      </c>
      <c r="D127" s="34"/>
      <c r="E127" s="36">
        <v>1.3339211E7</v>
      </c>
      <c r="F127" s="37">
        <f t="shared" si="1"/>
        <v>0.005558004583</v>
      </c>
      <c r="G127" s="36">
        <f>IF(F127="",B127*Summary!$C$22,E127)</f>
        <v>13339211</v>
      </c>
      <c r="H127" s="34">
        <f t="shared" si="2"/>
        <v>1</v>
      </c>
      <c r="I127" s="34">
        <f t="shared" si="3"/>
        <v>1</v>
      </c>
      <c r="J127" s="34">
        <f t="shared" si="4"/>
        <v>0</v>
      </c>
    </row>
    <row r="128">
      <c r="A128" s="34" t="s">
        <v>448</v>
      </c>
      <c r="B128" s="35">
        <v>2.3E9</v>
      </c>
      <c r="C128" s="35">
        <v>8683316.0</v>
      </c>
      <c r="D128" s="34"/>
      <c r="E128" s="36">
        <v>8683316.0</v>
      </c>
      <c r="F128" s="37">
        <f t="shared" si="1"/>
        <v>0.003775354783</v>
      </c>
      <c r="G128" s="36">
        <f>IF(F128="",B128*Summary!$C$22,E128)</f>
        <v>8683316</v>
      </c>
      <c r="H128" s="34">
        <f t="shared" si="2"/>
        <v>1</v>
      </c>
      <c r="I128" s="34">
        <f t="shared" si="3"/>
        <v>1</v>
      </c>
      <c r="J128" s="34">
        <f t="shared" si="4"/>
        <v>0</v>
      </c>
    </row>
    <row r="129">
      <c r="A129" s="34" t="s">
        <v>452</v>
      </c>
      <c r="B129" s="35">
        <v>2.3E9</v>
      </c>
      <c r="C129" s="35">
        <v>6.882E7</v>
      </c>
      <c r="D129" s="34"/>
      <c r="E129" s="36">
        <v>6.882E7</v>
      </c>
      <c r="F129" s="37">
        <f t="shared" si="1"/>
        <v>0.02992173913</v>
      </c>
      <c r="G129" s="36">
        <f>IF(F129="",B129*Summary!$C$22,E129)</f>
        <v>68820000</v>
      </c>
      <c r="H129" s="34">
        <f t="shared" si="2"/>
        <v>1</v>
      </c>
      <c r="I129" s="34">
        <f t="shared" si="3"/>
        <v>1</v>
      </c>
      <c r="J129" s="34">
        <f t="shared" si="4"/>
        <v>0</v>
      </c>
    </row>
    <row r="130">
      <c r="A130" s="34" t="s">
        <v>454</v>
      </c>
      <c r="B130" s="35">
        <v>2.3E9</v>
      </c>
      <c r="C130" s="35">
        <v>1.1E7</v>
      </c>
      <c r="D130" s="34"/>
      <c r="E130" s="36">
        <v>1.1E7</v>
      </c>
      <c r="F130" s="37">
        <f t="shared" si="1"/>
        <v>0.004782608696</v>
      </c>
      <c r="G130" s="36">
        <f>IF(F130="",B130*Summary!$C$22,E130)</f>
        <v>11000000</v>
      </c>
      <c r="H130" s="34">
        <f t="shared" si="2"/>
        <v>1</v>
      </c>
      <c r="I130" s="34">
        <f t="shared" si="3"/>
        <v>1</v>
      </c>
      <c r="J130" s="34">
        <f t="shared" si="4"/>
        <v>0</v>
      </c>
    </row>
    <row r="131">
      <c r="A131" s="34" t="s">
        <v>456</v>
      </c>
      <c r="B131" s="35">
        <v>2.3E9</v>
      </c>
      <c r="C131" s="35">
        <v>1.98E7</v>
      </c>
      <c r="D131" s="34"/>
      <c r="E131" s="36">
        <v>1.98E7</v>
      </c>
      <c r="F131" s="37">
        <f t="shared" si="1"/>
        <v>0.008608695652</v>
      </c>
      <c r="G131" s="36">
        <f>IF(F131="",B131*Summary!$C$22,E131)</f>
        <v>19800000</v>
      </c>
      <c r="H131" s="34">
        <f t="shared" si="2"/>
        <v>1</v>
      </c>
      <c r="I131" s="34">
        <f t="shared" si="3"/>
        <v>1</v>
      </c>
      <c r="J131" s="34">
        <f t="shared" si="4"/>
        <v>0</v>
      </c>
    </row>
    <row r="132">
      <c r="A132" s="34" t="s">
        <v>458</v>
      </c>
      <c r="B132" s="35">
        <v>2.3E9</v>
      </c>
      <c r="C132" s="35"/>
      <c r="D132" s="34"/>
      <c r="E132" s="36"/>
      <c r="F132" s="37" t="str">
        <f t="shared" si="1"/>
        <v/>
      </c>
      <c r="G132" s="36">
        <f>IF(F132="",B132*Summary!$C$22,E132)</f>
        <v>14628821.43</v>
      </c>
      <c r="H132" s="34">
        <f t="shared" si="2"/>
        <v>0</v>
      </c>
      <c r="I132" s="34">
        <f t="shared" si="3"/>
        <v>0</v>
      </c>
      <c r="J132" s="34">
        <f t="shared" si="4"/>
        <v>0</v>
      </c>
    </row>
    <row r="133">
      <c r="A133" s="34" t="s">
        <v>459</v>
      </c>
      <c r="B133" s="35">
        <v>2.3E9</v>
      </c>
      <c r="C133" s="35">
        <v>9411000.0</v>
      </c>
      <c r="D133" s="34"/>
      <c r="E133" s="36">
        <v>9411000.0</v>
      </c>
      <c r="F133" s="37">
        <f t="shared" si="1"/>
        <v>0.00409173913</v>
      </c>
      <c r="G133" s="36">
        <f>IF(F133="",B133*Summary!$C$22,E133)</f>
        <v>9411000</v>
      </c>
      <c r="H133" s="34">
        <f t="shared" si="2"/>
        <v>1</v>
      </c>
      <c r="I133" s="34">
        <f t="shared" si="3"/>
        <v>1</v>
      </c>
      <c r="J133" s="34">
        <f t="shared" si="4"/>
        <v>0</v>
      </c>
    </row>
    <row r="134">
      <c r="A134" s="34" t="s">
        <v>462</v>
      </c>
      <c r="B134" s="35">
        <v>2.2E9</v>
      </c>
      <c r="C134" s="35"/>
      <c r="D134" s="34"/>
      <c r="E134" s="36"/>
      <c r="F134" s="37" t="str">
        <f t="shared" si="1"/>
        <v/>
      </c>
      <c r="G134" s="36">
        <f>IF(F134="",B134*Summary!$C$22,E134)</f>
        <v>13992785.71</v>
      </c>
      <c r="H134" s="34">
        <f t="shared" si="2"/>
        <v>0</v>
      </c>
      <c r="I134" s="34">
        <f t="shared" si="3"/>
        <v>0</v>
      </c>
      <c r="J134" s="34">
        <f t="shared" si="4"/>
        <v>0</v>
      </c>
    </row>
    <row r="135">
      <c r="A135" s="34" t="s">
        <v>464</v>
      </c>
      <c r="B135" s="35">
        <v>2.2E9</v>
      </c>
      <c r="C135" s="35"/>
      <c r="D135" s="34"/>
      <c r="E135" s="36"/>
      <c r="F135" s="37" t="str">
        <f t="shared" si="1"/>
        <v/>
      </c>
      <c r="G135" s="36">
        <f>IF(F135="",B135*Summary!$C$22,E135)</f>
        <v>13992785.71</v>
      </c>
      <c r="H135" s="34">
        <f t="shared" si="2"/>
        <v>0</v>
      </c>
      <c r="I135" s="34">
        <f t="shared" si="3"/>
        <v>0</v>
      </c>
      <c r="J135" s="34">
        <f t="shared" si="4"/>
        <v>0</v>
      </c>
    </row>
    <row r="136">
      <c r="A136" s="34" t="s">
        <v>469</v>
      </c>
      <c r="B136" s="35">
        <v>2.2E9</v>
      </c>
      <c r="C136" s="35">
        <v>3.875E7</v>
      </c>
      <c r="D136" s="34"/>
      <c r="E136" s="36">
        <v>3.875E7</v>
      </c>
      <c r="F136" s="37">
        <f t="shared" si="1"/>
        <v>0.01761363636</v>
      </c>
      <c r="G136" s="36">
        <f>IF(F136="",B136*Summary!$C$22,E136)</f>
        <v>38750000</v>
      </c>
      <c r="H136" s="34">
        <f t="shared" si="2"/>
        <v>1</v>
      </c>
      <c r="I136" s="34">
        <f t="shared" si="3"/>
        <v>1</v>
      </c>
      <c r="J136" s="34">
        <f t="shared" si="4"/>
        <v>0</v>
      </c>
    </row>
    <row r="137">
      <c r="A137" s="34" t="s">
        <v>471</v>
      </c>
      <c r="B137" s="35">
        <v>2.2E9</v>
      </c>
      <c r="C137" s="35"/>
      <c r="D137" s="34"/>
      <c r="E137" s="36"/>
      <c r="F137" s="37" t="str">
        <f t="shared" si="1"/>
        <v/>
      </c>
      <c r="G137" s="36">
        <f>IF(F137="",B137*Summary!$C$22,E137)</f>
        <v>13992785.71</v>
      </c>
      <c r="H137" s="34">
        <f t="shared" si="2"/>
        <v>0</v>
      </c>
      <c r="I137" s="34">
        <f t="shared" si="3"/>
        <v>0</v>
      </c>
      <c r="J137" s="34">
        <f t="shared" si="4"/>
        <v>0</v>
      </c>
    </row>
    <row r="138">
      <c r="A138" s="34" t="s">
        <v>473</v>
      </c>
      <c r="B138" s="35">
        <v>2.2E9</v>
      </c>
      <c r="C138" s="35"/>
      <c r="D138" s="34"/>
      <c r="E138" s="36"/>
      <c r="F138" s="37" t="str">
        <f t="shared" si="1"/>
        <v/>
      </c>
      <c r="G138" s="36">
        <f>IF(F138="",B138*Summary!$C$22,E138)</f>
        <v>13992785.71</v>
      </c>
      <c r="H138" s="34">
        <f t="shared" si="2"/>
        <v>0</v>
      </c>
      <c r="I138" s="34">
        <f t="shared" si="3"/>
        <v>0</v>
      </c>
      <c r="J138" s="34">
        <f t="shared" si="4"/>
        <v>0</v>
      </c>
    </row>
    <row r="139">
      <c r="A139" s="34" t="s">
        <v>475</v>
      </c>
      <c r="B139" s="35">
        <v>2.2E9</v>
      </c>
      <c r="C139" s="35">
        <v>3.0E7</v>
      </c>
      <c r="D139" s="34"/>
      <c r="E139" s="36">
        <v>3.0E7</v>
      </c>
      <c r="F139" s="37">
        <f t="shared" si="1"/>
        <v>0.01363636364</v>
      </c>
      <c r="G139" s="36">
        <f>IF(F139="",B139*Summary!$C$22,E139)</f>
        <v>30000000</v>
      </c>
      <c r="H139" s="34">
        <f t="shared" si="2"/>
        <v>1</v>
      </c>
      <c r="I139" s="34">
        <f t="shared" si="3"/>
        <v>1</v>
      </c>
      <c r="J139" s="34">
        <f t="shared" si="4"/>
        <v>0</v>
      </c>
    </row>
    <row r="140">
      <c r="A140" s="34" t="s">
        <v>477</v>
      </c>
      <c r="B140" s="35">
        <v>2.2E9</v>
      </c>
      <c r="C140" s="35"/>
      <c r="D140" s="34"/>
      <c r="E140" s="36"/>
      <c r="F140" s="37" t="str">
        <f t="shared" si="1"/>
        <v/>
      </c>
      <c r="G140" s="36">
        <f>IF(F140="",B140*Summary!$C$22,E140)</f>
        <v>13992785.71</v>
      </c>
      <c r="H140" s="34">
        <f t="shared" si="2"/>
        <v>0</v>
      </c>
      <c r="I140" s="34">
        <f t="shared" si="3"/>
        <v>0</v>
      </c>
      <c r="J140" s="34">
        <f t="shared" si="4"/>
        <v>0</v>
      </c>
    </row>
    <row r="141">
      <c r="A141" s="34" t="s">
        <v>478</v>
      </c>
      <c r="B141" s="35">
        <v>2.2E9</v>
      </c>
      <c r="C141" s="35"/>
      <c r="D141" s="34"/>
      <c r="E141" s="36"/>
      <c r="F141" s="37" t="str">
        <f t="shared" si="1"/>
        <v/>
      </c>
      <c r="G141" s="36">
        <f>IF(F141="",B141*Summary!$C$22,E141)</f>
        <v>13992785.71</v>
      </c>
      <c r="H141" s="34">
        <f t="shared" si="2"/>
        <v>0</v>
      </c>
      <c r="I141" s="34">
        <f t="shared" si="3"/>
        <v>0</v>
      </c>
      <c r="J141" s="34">
        <f t="shared" si="4"/>
        <v>0</v>
      </c>
    </row>
    <row r="142">
      <c r="A142" s="34" t="s">
        <v>481</v>
      </c>
      <c r="B142" s="35">
        <v>2.2E9</v>
      </c>
      <c r="C142" s="35"/>
      <c r="D142" s="34"/>
      <c r="E142" s="36"/>
      <c r="F142" s="37" t="str">
        <f t="shared" si="1"/>
        <v/>
      </c>
      <c r="G142" s="36">
        <f>IF(F142="",B142*Summary!$C$22,E142)</f>
        <v>13992785.71</v>
      </c>
      <c r="H142" s="34">
        <f t="shared" si="2"/>
        <v>0</v>
      </c>
      <c r="I142" s="34">
        <f t="shared" si="3"/>
        <v>0</v>
      </c>
      <c r="J142" s="34">
        <f t="shared" si="4"/>
        <v>0</v>
      </c>
    </row>
    <row r="143">
      <c r="A143" s="34" t="s">
        <v>484</v>
      </c>
      <c r="B143" s="35">
        <v>2.1E9</v>
      </c>
      <c r="C143" s="35"/>
      <c r="D143" s="34"/>
      <c r="E143" s="36"/>
      <c r="F143" s="37" t="str">
        <f t="shared" si="1"/>
        <v/>
      </c>
      <c r="G143" s="36">
        <f>IF(F143="",B143*Summary!$C$22,E143)</f>
        <v>13356750</v>
      </c>
      <c r="H143" s="34">
        <f t="shared" si="2"/>
        <v>0</v>
      </c>
      <c r="I143" s="34">
        <f t="shared" si="3"/>
        <v>0</v>
      </c>
      <c r="J143" s="34">
        <f t="shared" si="4"/>
        <v>0</v>
      </c>
    </row>
    <row r="144">
      <c r="A144" s="34" t="s">
        <v>488</v>
      </c>
      <c r="B144" s="35">
        <v>2.1E9</v>
      </c>
      <c r="C144" s="35">
        <v>5512000.0</v>
      </c>
      <c r="D144" s="34"/>
      <c r="E144" s="36">
        <v>5512000.0</v>
      </c>
      <c r="F144" s="37">
        <f t="shared" si="1"/>
        <v>0.002624761905</v>
      </c>
      <c r="G144" s="36">
        <f>IF(F144="",B144*Summary!$C$22,E144)</f>
        <v>5512000</v>
      </c>
      <c r="H144" s="34">
        <f t="shared" si="2"/>
        <v>1</v>
      </c>
      <c r="I144" s="34">
        <f t="shared" si="3"/>
        <v>1</v>
      </c>
      <c r="J144" s="34">
        <f t="shared" si="4"/>
        <v>0</v>
      </c>
    </row>
    <row r="145">
      <c r="A145" s="34" t="s">
        <v>491</v>
      </c>
      <c r="B145" s="35">
        <v>2.1E9</v>
      </c>
      <c r="C145" s="35">
        <v>1.41E8</v>
      </c>
      <c r="D145" s="34"/>
      <c r="E145" s="36">
        <v>1.41E8</v>
      </c>
      <c r="F145" s="37">
        <f t="shared" si="1"/>
        <v>0.06714285714</v>
      </c>
      <c r="G145" s="36">
        <f>IF(F145="",B145*Summary!$C$22,E145)</f>
        <v>141000000</v>
      </c>
      <c r="H145" s="34">
        <f t="shared" si="2"/>
        <v>1</v>
      </c>
      <c r="I145" s="34">
        <f t="shared" si="3"/>
        <v>1</v>
      </c>
      <c r="J145" s="34">
        <f t="shared" si="4"/>
        <v>0</v>
      </c>
    </row>
    <row r="146">
      <c r="A146" s="34" t="s">
        <v>493</v>
      </c>
      <c r="B146" s="35">
        <v>2.1E9</v>
      </c>
      <c r="C146" s="35">
        <v>1.7E7</v>
      </c>
      <c r="D146" s="34"/>
      <c r="E146" s="36">
        <v>1.7E7</v>
      </c>
      <c r="F146" s="37">
        <f t="shared" si="1"/>
        <v>0.008095238095</v>
      </c>
      <c r="G146" s="36">
        <f>IF(F146="",B146*Summary!$C$22,E146)</f>
        <v>17000000</v>
      </c>
      <c r="H146" s="34">
        <f t="shared" si="2"/>
        <v>1</v>
      </c>
      <c r="I146" s="34">
        <f t="shared" si="3"/>
        <v>1</v>
      </c>
      <c r="J146" s="34">
        <f t="shared" si="4"/>
        <v>0</v>
      </c>
    </row>
    <row r="147">
      <c r="A147" s="34" t="s">
        <v>496</v>
      </c>
      <c r="B147" s="35">
        <v>2.0E9</v>
      </c>
      <c r="C147" s="35">
        <v>3.4E7</v>
      </c>
      <c r="D147" s="34"/>
      <c r="E147" s="36">
        <v>3.4E7</v>
      </c>
      <c r="F147" s="37">
        <f t="shared" si="1"/>
        <v>0.017</v>
      </c>
      <c r="G147" s="36">
        <f>IF(F147="",B147*Summary!$C$22,E147)</f>
        <v>34000000</v>
      </c>
      <c r="H147" s="34">
        <f t="shared" si="2"/>
        <v>1</v>
      </c>
      <c r="I147" s="34">
        <f t="shared" si="3"/>
        <v>1</v>
      </c>
      <c r="J147" s="34">
        <f t="shared" si="4"/>
        <v>0</v>
      </c>
    </row>
    <row r="148">
      <c r="A148" s="34" t="s">
        <v>499</v>
      </c>
      <c r="B148" s="35">
        <v>2.0E9</v>
      </c>
      <c r="C148" s="35">
        <v>7322885.0</v>
      </c>
      <c r="D148" s="34"/>
      <c r="E148" s="36">
        <v>7322885.0</v>
      </c>
      <c r="F148" s="37">
        <f t="shared" si="1"/>
        <v>0.0036614425</v>
      </c>
      <c r="G148" s="36">
        <f>IF(F148="",B148*Summary!$C$22,E148)</f>
        <v>7322885</v>
      </c>
      <c r="H148" s="34">
        <f t="shared" si="2"/>
        <v>1</v>
      </c>
      <c r="I148" s="34">
        <f t="shared" si="3"/>
        <v>1</v>
      </c>
      <c r="J148" s="34">
        <f t="shared" si="4"/>
        <v>0</v>
      </c>
    </row>
    <row r="149">
      <c r="A149" s="34" t="s">
        <v>502</v>
      </c>
      <c r="B149" s="35">
        <v>2.0E9</v>
      </c>
      <c r="C149" s="35"/>
      <c r="D149" s="34"/>
      <c r="E149" s="36"/>
      <c r="F149" s="37" t="str">
        <f t="shared" si="1"/>
        <v/>
      </c>
      <c r="G149" s="36">
        <f>IF(F149="",B149*Summary!$C$22,E149)</f>
        <v>12720714.29</v>
      </c>
      <c r="H149" s="34">
        <f t="shared" si="2"/>
        <v>0</v>
      </c>
      <c r="I149" s="34">
        <f t="shared" si="3"/>
        <v>0</v>
      </c>
      <c r="J149" s="34">
        <f t="shared" si="4"/>
        <v>0</v>
      </c>
    </row>
    <row r="150">
      <c r="A150" s="34" t="s">
        <v>505</v>
      </c>
      <c r="B150" s="35">
        <v>2.0E9</v>
      </c>
      <c r="C150" s="35"/>
      <c r="D150" s="34"/>
      <c r="E150" s="36"/>
      <c r="F150" s="37" t="str">
        <f t="shared" si="1"/>
        <v/>
      </c>
      <c r="G150" s="36">
        <f>IF(F150="",B150*Summary!$C$22,E150)</f>
        <v>12720714.29</v>
      </c>
      <c r="H150" s="34">
        <f t="shared" si="2"/>
        <v>0</v>
      </c>
      <c r="I150" s="34">
        <f t="shared" si="3"/>
        <v>0</v>
      </c>
      <c r="J150" s="34">
        <f t="shared" si="4"/>
        <v>0</v>
      </c>
    </row>
    <row r="151">
      <c r="A151" s="34" t="s">
        <v>508</v>
      </c>
      <c r="B151" s="35">
        <v>2.0E9</v>
      </c>
      <c r="C151" s="35"/>
      <c r="D151" s="34"/>
      <c r="E151" s="36"/>
      <c r="F151" s="37" t="str">
        <f t="shared" si="1"/>
        <v/>
      </c>
      <c r="G151" s="36">
        <f>IF(F151="",B151*Summary!$C$22,E151)</f>
        <v>12720714.29</v>
      </c>
      <c r="H151" s="34">
        <f t="shared" si="2"/>
        <v>0</v>
      </c>
      <c r="I151" s="34">
        <f t="shared" si="3"/>
        <v>0</v>
      </c>
      <c r="J151" s="34">
        <f t="shared" si="4"/>
        <v>0</v>
      </c>
    </row>
    <row r="152">
      <c r="A152" s="34" t="s">
        <v>513</v>
      </c>
      <c r="B152" s="35">
        <v>2.0E9</v>
      </c>
      <c r="C152" s="35"/>
      <c r="D152" s="34"/>
      <c r="E152" s="36"/>
      <c r="F152" s="37" t="str">
        <f t="shared" si="1"/>
        <v/>
      </c>
      <c r="G152" s="36">
        <f>IF(F152="",B152*Summary!$C$22,E152)</f>
        <v>12720714.29</v>
      </c>
      <c r="H152" s="34">
        <f t="shared" si="2"/>
        <v>0</v>
      </c>
      <c r="I152" s="34">
        <f t="shared" si="3"/>
        <v>0</v>
      </c>
      <c r="J152" s="34">
        <f t="shared" si="4"/>
        <v>0</v>
      </c>
    </row>
    <row r="153">
      <c r="A153" s="34" t="s">
        <v>514</v>
      </c>
      <c r="B153" s="35">
        <v>1.9E9</v>
      </c>
      <c r="C153" s="35">
        <v>2.7E7</v>
      </c>
      <c r="D153" s="34"/>
      <c r="E153" s="36">
        <v>2.7E7</v>
      </c>
      <c r="F153" s="37">
        <f t="shared" si="1"/>
        <v>0.01421052632</v>
      </c>
      <c r="G153" s="36">
        <f>IF(F153="",B153*Summary!$C$22,E153)</f>
        <v>27000000</v>
      </c>
      <c r="H153" s="34">
        <f t="shared" si="2"/>
        <v>1</v>
      </c>
      <c r="I153" s="34">
        <f t="shared" si="3"/>
        <v>1</v>
      </c>
      <c r="J153" s="34">
        <f t="shared" si="4"/>
        <v>0</v>
      </c>
    </row>
    <row r="154">
      <c r="A154" s="34" t="s">
        <v>517</v>
      </c>
      <c r="B154" s="35">
        <v>1.9E9</v>
      </c>
      <c r="C154" s="35"/>
      <c r="D154" s="34"/>
      <c r="E154" s="36"/>
      <c r="F154" s="37" t="str">
        <f t="shared" si="1"/>
        <v/>
      </c>
      <c r="G154" s="36">
        <f>IF(F154="",B154*Summary!$C$22,E154)</f>
        <v>12084678.57</v>
      </c>
      <c r="H154" s="34">
        <f t="shared" si="2"/>
        <v>0</v>
      </c>
      <c r="I154" s="34">
        <f t="shared" si="3"/>
        <v>0</v>
      </c>
      <c r="J154" s="34">
        <f t="shared" si="4"/>
        <v>0</v>
      </c>
    </row>
    <row r="155">
      <c r="A155" s="34" t="s">
        <v>520</v>
      </c>
      <c r="B155" s="35">
        <v>1.9E9</v>
      </c>
      <c r="C155" s="35"/>
      <c r="D155" s="34"/>
      <c r="E155" s="36"/>
      <c r="F155" s="37" t="str">
        <f t="shared" si="1"/>
        <v/>
      </c>
      <c r="G155" s="36">
        <f>IF(F155="",B155*Summary!$C$22,E155)</f>
        <v>12084678.57</v>
      </c>
      <c r="H155" s="34">
        <f t="shared" si="2"/>
        <v>0</v>
      </c>
      <c r="I155" s="34">
        <f t="shared" si="3"/>
        <v>0</v>
      </c>
      <c r="J155" s="34">
        <f t="shared" si="4"/>
        <v>0</v>
      </c>
    </row>
    <row r="156">
      <c r="A156" s="34" t="s">
        <v>521</v>
      </c>
      <c r="B156" s="35">
        <v>1.9E9</v>
      </c>
      <c r="C156" s="35">
        <v>1.1E8</v>
      </c>
      <c r="D156" s="34"/>
      <c r="E156" s="36">
        <v>1.1E8</v>
      </c>
      <c r="F156" s="37">
        <f t="shared" si="1"/>
        <v>0.05789473684</v>
      </c>
      <c r="G156" s="36">
        <f>IF(F156="",B156*Summary!$C$22,E156)</f>
        <v>110000000</v>
      </c>
      <c r="H156" s="34">
        <f t="shared" si="2"/>
        <v>1</v>
      </c>
      <c r="I156" s="34">
        <f t="shared" si="3"/>
        <v>1</v>
      </c>
      <c r="J156" s="34">
        <f t="shared" si="4"/>
        <v>0</v>
      </c>
    </row>
    <row r="157">
      <c r="A157" s="34" t="s">
        <v>524</v>
      </c>
      <c r="B157" s="35">
        <v>1.9E9</v>
      </c>
      <c r="C157" s="35">
        <v>1.77E8</v>
      </c>
      <c r="D157" s="34"/>
      <c r="E157" s="36">
        <v>1.77E8</v>
      </c>
      <c r="F157" s="37">
        <f t="shared" si="1"/>
        <v>0.09315789474</v>
      </c>
      <c r="G157" s="36">
        <f>IF(F157="",B157*Summary!$C$22,E157)</f>
        <v>177000000</v>
      </c>
      <c r="H157" s="34">
        <f t="shared" si="2"/>
        <v>1</v>
      </c>
      <c r="I157" s="34">
        <f t="shared" si="3"/>
        <v>1</v>
      </c>
      <c r="J157" s="34">
        <f t="shared" si="4"/>
        <v>0</v>
      </c>
    </row>
    <row r="158">
      <c r="A158" s="34" t="s">
        <v>526</v>
      </c>
      <c r="B158" s="35">
        <v>1.8E9</v>
      </c>
      <c r="C158" s="35">
        <v>6.0E7</v>
      </c>
      <c r="D158" s="34"/>
      <c r="E158" s="36">
        <v>6.0E7</v>
      </c>
      <c r="F158" s="37">
        <f t="shared" si="1"/>
        <v>0.03333333333</v>
      </c>
      <c r="G158" s="36">
        <f>IF(F158="",B158*Summary!$C$22,E158)</f>
        <v>60000000</v>
      </c>
      <c r="H158" s="34">
        <f t="shared" si="2"/>
        <v>1</v>
      </c>
      <c r="I158" s="34">
        <f t="shared" si="3"/>
        <v>1</v>
      </c>
      <c r="J158" s="34">
        <f t="shared" si="4"/>
        <v>0</v>
      </c>
    </row>
    <row r="159">
      <c r="A159" s="34" t="s">
        <v>532</v>
      </c>
      <c r="B159" s="35">
        <v>1.8E9</v>
      </c>
      <c r="C159" s="35"/>
      <c r="D159" s="34"/>
      <c r="E159" s="36"/>
      <c r="F159" s="37" t="str">
        <f t="shared" si="1"/>
        <v/>
      </c>
      <c r="G159" s="36">
        <f>IF(F159="",B159*Summary!$C$22,E159)</f>
        <v>11448642.86</v>
      </c>
      <c r="H159" s="34">
        <f t="shared" si="2"/>
        <v>0</v>
      </c>
      <c r="I159" s="34">
        <f t="shared" si="3"/>
        <v>0</v>
      </c>
      <c r="J159" s="34">
        <f t="shared" si="4"/>
        <v>0</v>
      </c>
    </row>
    <row r="160">
      <c r="A160" s="34" t="s">
        <v>536</v>
      </c>
      <c r="B160" s="35">
        <v>1.7E9</v>
      </c>
      <c r="C160" s="35"/>
      <c r="D160" s="34"/>
      <c r="E160" s="36"/>
      <c r="F160" s="37" t="str">
        <f t="shared" si="1"/>
        <v/>
      </c>
      <c r="G160" s="36">
        <f>IF(F160="",B160*Summary!$C$22,E160)</f>
        <v>10812607.14</v>
      </c>
      <c r="H160" s="34">
        <f t="shared" si="2"/>
        <v>0</v>
      </c>
      <c r="I160" s="34">
        <f t="shared" si="3"/>
        <v>0</v>
      </c>
      <c r="J160" s="34">
        <f t="shared" si="4"/>
        <v>0</v>
      </c>
    </row>
    <row r="161">
      <c r="A161" s="34" t="s">
        <v>539</v>
      </c>
      <c r="B161" s="35">
        <v>1.7E9</v>
      </c>
      <c r="C161" s="35"/>
      <c r="D161" s="34"/>
      <c r="E161" s="36"/>
      <c r="F161" s="37" t="str">
        <f t="shared" si="1"/>
        <v/>
      </c>
      <c r="G161" s="36">
        <f>IF(F161="",B161*Summary!$C$22,E161)</f>
        <v>10812607.14</v>
      </c>
      <c r="H161" s="34">
        <f t="shared" si="2"/>
        <v>0</v>
      </c>
      <c r="I161" s="34">
        <f t="shared" si="3"/>
        <v>0</v>
      </c>
      <c r="J161" s="34">
        <f t="shared" si="4"/>
        <v>0</v>
      </c>
    </row>
    <row r="162">
      <c r="A162" s="34" t="s">
        <v>540</v>
      </c>
      <c r="B162" s="35">
        <v>1.7E9</v>
      </c>
      <c r="C162" s="35">
        <v>2.39E7</v>
      </c>
      <c r="D162" s="34"/>
      <c r="E162" s="36">
        <v>2.39E7</v>
      </c>
      <c r="F162" s="37">
        <f t="shared" si="1"/>
        <v>0.01405882353</v>
      </c>
      <c r="G162" s="36">
        <f>IF(F162="",B162*Summary!$C$22,E162)</f>
        <v>23900000</v>
      </c>
      <c r="H162" s="34">
        <f t="shared" si="2"/>
        <v>1</v>
      </c>
      <c r="I162" s="34">
        <f t="shared" si="3"/>
        <v>1</v>
      </c>
      <c r="J162" s="34">
        <f t="shared" si="4"/>
        <v>0</v>
      </c>
    </row>
    <row r="163">
      <c r="A163" s="34" t="s">
        <v>542</v>
      </c>
      <c r="B163" s="35">
        <v>1.7E9</v>
      </c>
      <c r="C163" s="35"/>
      <c r="D163" s="34"/>
      <c r="E163" s="36"/>
      <c r="F163" s="37" t="str">
        <f t="shared" si="1"/>
        <v/>
      </c>
      <c r="G163" s="36">
        <f>IF(F163="",B163*Summary!$C$22,E163)</f>
        <v>10812607.14</v>
      </c>
      <c r="H163" s="34">
        <f t="shared" si="2"/>
        <v>0</v>
      </c>
      <c r="I163" s="34">
        <f t="shared" si="3"/>
        <v>0</v>
      </c>
      <c r="J163" s="34">
        <f t="shared" si="4"/>
        <v>0</v>
      </c>
    </row>
    <row r="164">
      <c r="A164" s="34" t="s">
        <v>543</v>
      </c>
      <c r="B164" s="35">
        <v>1.7E9</v>
      </c>
      <c r="C164" s="35"/>
      <c r="D164" s="34"/>
      <c r="E164" s="36"/>
      <c r="F164" s="37" t="str">
        <f t="shared" si="1"/>
        <v/>
      </c>
      <c r="G164" s="36">
        <f>IF(F164="",B164*Summary!$C$22,E164)</f>
        <v>10812607.14</v>
      </c>
      <c r="H164" s="34">
        <f t="shared" si="2"/>
        <v>0</v>
      </c>
      <c r="I164" s="34">
        <f t="shared" si="3"/>
        <v>0</v>
      </c>
      <c r="J164" s="34">
        <f t="shared" si="4"/>
        <v>0</v>
      </c>
    </row>
    <row r="165">
      <c r="A165" s="34" t="s">
        <v>544</v>
      </c>
      <c r="B165" s="35">
        <v>1.6E9</v>
      </c>
      <c r="C165" s="35"/>
      <c r="D165" s="34"/>
      <c r="E165" s="36"/>
      <c r="F165" s="37" t="str">
        <f t="shared" si="1"/>
        <v/>
      </c>
      <c r="G165" s="36">
        <f>IF(F165="",B165*Summary!$C$22,E165)</f>
        <v>10176571.43</v>
      </c>
      <c r="H165" s="34">
        <f t="shared" si="2"/>
        <v>0</v>
      </c>
      <c r="I165" s="34">
        <f t="shared" si="3"/>
        <v>0</v>
      </c>
      <c r="J165" s="34">
        <f t="shared" si="4"/>
        <v>0</v>
      </c>
    </row>
    <row r="166">
      <c r="A166" s="34" t="s">
        <v>547</v>
      </c>
      <c r="B166" s="35">
        <v>1.6E9</v>
      </c>
      <c r="C166" s="35"/>
      <c r="D166" s="34"/>
      <c r="E166" s="36"/>
      <c r="F166" s="37" t="str">
        <f t="shared" si="1"/>
        <v/>
      </c>
      <c r="G166" s="36">
        <f>IF(F166="",B166*Summary!$C$22,E166)</f>
        <v>10176571.43</v>
      </c>
      <c r="H166" s="34">
        <f t="shared" si="2"/>
        <v>0</v>
      </c>
      <c r="I166" s="34">
        <f t="shared" si="3"/>
        <v>0</v>
      </c>
      <c r="J166" s="34">
        <f t="shared" si="4"/>
        <v>0</v>
      </c>
    </row>
    <row r="167">
      <c r="A167" s="34" t="s">
        <v>550</v>
      </c>
      <c r="B167" s="35">
        <v>1.6E9</v>
      </c>
      <c r="C167" s="35">
        <v>3.582E7</v>
      </c>
      <c r="D167" s="34"/>
      <c r="E167" s="36">
        <v>3.582E7</v>
      </c>
      <c r="F167" s="37">
        <f t="shared" si="1"/>
        <v>0.0223875</v>
      </c>
      <c r="G167" s="36">
        <f>IF(F167="",B167*Summary!$C$22,E167)</f>
        <v>35820000</v>
      </c>
      <c r="H167" s="34">
        <f t="shared" si="2"/>
        <v>1</v>
      </c>
      <c r="I167" s="34">
        <f t="shared" si="3"/>
        <v>1</v>
      </c>
      <c r="J167" s="34">
        <f t="shared" si="4"/>
        <v>0</v>
      </c>
    </row>
    <row r="168">
      <c r="A168" s="34" t="s">
        <v>553</v>
      </c>
      <c r="B168" s="35">
        <v>1.6E9</v>
      </c>
      <c r="C168" s="35"/>
      <c r="D168" s="34"/>
      <c r="E168" s="36"/>
      <c r="F168" s="37" t="str">
        <f t="shared" si="1"/>
        <v/>
      </c>
      <c r="G168" s="36">
        <f>IF(F168="",B168*Summary!$C$22,E168)</f>
        <v>10176571.43</v>
      </c>
      <c r="H168" s="34">
        <f t="shared" si="2"/>
        <v>0</v>
      </c>
      <c r="I168" s="34">
        <f t="shared" si="3"/>
        <v>0</v>
      </c>
      <c r="J168" s="34">
        <f t="shared" si="4"/>
        <v>0</v>
      </c>
    </row>
    <row r="169">
      <c r="A169" s="34" t="s">
        <v>554</v>
      </c>
      <c r="B169" s="35">
        <v>1.6E9</v>
      </c>
      <c r="C169" s="35"/>
      <c r="D169" s="34"/>
      <c r="E169" s="36"/>
      <c r="F169" s="37" t="str">
        <f t="shared" si="1"/>
        <v/>
      </c>
      <c r="G169" s="36">
        <f>IF(F169="",B169*Summary!$C$22,E169)</f>
        <v>10176571.43</v>
      </c>
      <c r="H169" s="34">
        <f t="shared" si="2"/>
        <v>0</v>
      </c>
      <c r="I169" s="34">
        <f t="shared" si="3"/>
        <v>0</v>
      </c>
      <c r="J169" s="34">
        <f t="shared" si="4"/>
        <v>0</v>
      </c>
    </row>
    <row r="170">
      <c r="A170" s="34" t="s">
        <v>555</v>
      </c>
      <c r="B170" s="35">
        <v>1.6E9</v>
      </c>
      <c r="C170" s="35">
        <v>1.5E7</v>
      </c>
      <c r="D170" s="34"/>
      <c r="E170" s="36">
        <v>1.5E7</v>
      </c>
      <c r="F170" s="37">
        <f t="shared" si="1"/>
        <v>0.009375</v>
      </c>
      <c r="G170" s="36">
        <f>IF(F170="",B170*Summary!$C$22,E170)</f>
        <v>15000000</v>
      </c>
      <c r="H170" s="34">
        <f t="shared" si="2"/>
        <v>1</v>
      </c>
      <c r="I170" s="34">
        <f t="shared" si="3"/>
        <v>1</v>
      </c>
      <c r="J170" s="34">
        <f t="shared" si="4"/>
        <v>0</v>
      </c>
    </row>
    <row r="171">
      <c r="A171" s="34" t="s">
        <v>557</v>
      </c>
      <c r="B171" s="35">
        <v>1.6E9</v>
      </c>
      <c r="C171" s="35">
        <v>8030000.0</v>
      </c>
      <c r="D171" s="36">
        <v>8030000.0</v>
      </c>
      <c r="E171" s="36">
        <v>8030000.0</v>
      </c>
      <c r="F171" s="37">
        <f t="shared" si="1"/>
        <v>0.00501875</v>
      </c>
      <c r="G171" s="36">
        <f>IF(F171="",B171*Summary!$C$22,E171)</f>
        <v>8030000</v>
      </c>
      <c r="H171" s="34">
        <f t="shared" si="2"/>
        <v>1</v>
      </c>
      <c r="I171" s="34">
        <f t="shared" si="3"/>
        <v>0</v>
      </c>
      <c r="J171" s="34">
        <f t="shared" si="4"/>
        <v>1</v>
      </c>
    </row>
    <row r="172">
      <c r="A172" s="34" t="s">
        <v>560</v>
      </c>
      <c r="B172" s="35">
        <v>1.6E9</v>
      </c>
      <c r="C172" s="35"/>
      <c r="D172" s="36">
        <v>1.0961462E7</v>
      </c>
      <c r="E172" s="36">
        <v>1.0961462E7</v>
      </c>
      <c r="F172" s="37">
        <f t="shared" si="1"/>
        <v>0.00685091375</v>
      </c>
      <c r="G172" s="36">
        <f>IF(F172="",B172*Summary!$C$22,E172)</f>
        <v>10961462</v>
      </c>
      <c r="H172" s="34">
        <f t="shared" si="2"/>
        <v>1</v>
      </c>
      <c r="I172" s="34">
        <f t="shared" si="3"/>
        <v>0</v>
      </c>
      <c r="J172" s="34">
        <f t="shared" si="4"/>
        <v>1</v>
      </c>
    </row>
    <row r="173">
      <c r="A173" s="34" t="s">
        <v>563</v>
      </c>
      <c r="B173" s="35">
        <v>1.6E9</v>
      </c>
      <c r="C173" s="35"/>
      <c r="D173" s="34"/>
      <c r="E173" s="36"/>
      <c r="F173" s="37" t="str">
        <f t="shared" si="1"/>
        <v/>
      </c>
      <c r="G173" s="36">
        <f>IF(F173="",B173*Summary!$C$22,E173)</f>
        <v>10176571.43</v>
      </c>
      <c r="H173" s="34">
        <f t="shared" si="2"/>
        <v>0</v>
      </c>
      <c r="I173" s="34">
        <f t="shared" si="3"/>
        <v>0</v>
      </c>
      <c r="J173" s="34">
        <f t="shared" si="4"/>
        <v>0</v>
      </c>
    </row>
    <row r="174">
      <c r="A174" s="34" t="s">
        <v>564</v>
      </c>
      <c r="B174" s="35">
        <v>1.6E9</v>
      </c>
      <c r="C174" s="35"/>
      <c r="D174" s="34"/>
      <c r="E174" s="36"/>
      <c r="F174" s="37" t="str">
        <f t="shared" si="1"/>
        <v/>
      </c>
      <c r="G174" s="36">
        <f>IF(F174="",B174*Summary!$C$22,E174)</f>
        <v>10176571.43</v>
      </c>
      <c r="H174" s="34">
        <f t="shared" si="2"/>
        <v>0</v>
      </c>
      <c r="I174" s="34">
        <f t="shared" si="3"/>
        <v>0</v>
      </c>
      <c r="J174" s="34">
        <f t="shared" si="4"/>
        <v>0</v>
      </c>
    </row>
    <row r="175">
      <c r="A175" s="34" t="s">
        <v>566</v>
      </c>
      <c r="B175" s="35">
        <v>1.5E9</v>
      </c>
      <c r="C175" s="35">
        <v>1.5398401E7</v>
      </c>
      <c r="D175" s="36">
        <v>1.5398401E7</v>
      </c>
      <c r="E175" s="36">
        <v>1.5398401E7</v>
      </c>
      <c r="F175" s="37">
        <f t="shared" si="1"/>
        <v>0.01026560067</v>
      </c>
      <c r="G175" s="36">
        <f>IF(F175="",B175*Summary!$C$22,E175)</f>
        <v>15398401</v>
      </c>
      <c r="H175" s="34">
        <f t="shared" si="2"/>
        <v>1</v>
      </c>
      <c r="I175" s="34">
        <f t="shared" si="3"/>
        <v>0</v>
      </c>
      <c r="J175" s="34">
        <f t="shared" si="4"/>
        <v>1</v>
      </c>
    </row>
    <row r="176">
      <c r="A176" s="34" t="s">
        <v>570</v>
      </c>
      <c r="B176" s="35">
        <v>1.5E9</v>
      </c>
      <c r="C176" s="35">
        <v>1.5713764E7</v>
      </c>
      <c r="D176" s="36">
        <v>1.5713764E7</v>
      </c>
      <c r="E176" s="36">
        <v>1.5713764E7</v>
      </c>
      <c r="F176" s="37">
        <f t="shared" si="1"/>
        <v>0.01047584267</v>
      </c>
      <c r="G176" s="36">
        <f>IF(F176="",B176*Summary!$C$22,E176)</f>
        <v>15713764</v>
      </c>
      <c r="H176" s="34">
        <f t="shared" si="2"/>
        <v>1</v>
      </c>
      <c r="I176" s="34">
        <f t="shared" si="3"/>
        <v>0</v>
      </c>
      <c r="J176" s="34">
        <f t="shared" si="4"/>
        <v>1</v>
      </c>
    </row>
    <row r="177">
      <c r="A177" s="34" t="s">
        <v>573</v>
      </c>
      <c r="B177" s="35">
        <v>1.5E9</v>
      </c>
      <c r="C177" s="35"/>
      <c r="D177" s="34"/>
      <c r="E177" s="36"/>
      <c r="F177" s="37" t="str">
        <f t="shared" si="1"/>
        <v/>
      </c>
      <c r="G177" s="36">
        <f>IF(F177="",B177*Summary!$C$22,E177)</f>
        <v>9540535.714</v>
      </c>
      <c r="H177" s="34">
        <f t="shared" si="2"/>
        <v>0</v>
      </c>
      <c r="I177" s="34">
        <f t="shared" si="3"/>
        <v>0</v>
      </c>
      <c r="J177" s="34">
        <f t="shared" si="4"/>
        <v>0</v>
      </c>
    </row>
    <row r="178">
      <c r="A178" s="34" t="s">
        <v>574</v>
      </c>
      <c r="B178" s="35">
        <v>1.5E9</v>
      </c>
      <c r="C178" s="35">
        <v>6085000.0</v>
      </c>
      <c r="D178" s="36">
        <v>6016000.0</v>
      </c>
      <c r="E178" s="36">
        <v>6016000.0</v>
      </c>
      <c r="F178" s="37">
        <f t="shared" si="1"/>
        <v>0.004010666667</v>
      </c>
      <c r="G178" s="36">
        <f>IF(F178="",B178*Summary!$C$22,E178)</f>
        <v>6016000</v>
      </c>
      <c r="H178" s="34">
        <f t="shared" si="2"/>
        <v>1</v>
      </c>
      <c r="I178" s="34">
        <f t="shared" si="3"/>
        <v>0</v>
      </c>
      <c r="J178" s="34">
        <f t="shared" si="4"/>
        <v>1</v>
      </c>
    </row>
    <row r="179">
      <c r="A179" s="34" t="s">
        <v>577</v>
      </c>
      <c r="B179" s="35">
        <v>1.5E9</v>
      </c>
      <c r="C179" s="35"/>
      <c r="D179" s="34"/>
      <c r="E179" s="36"/>
      <c r="F179" s="37" t="str">
        <f t="shared" si="1"/>
        <v/>
      </c>
      <c r="G179" s="36">
        <f>IF(F179="",B179*Summary!$C$22,E179)</f>
        <v>9540535.714</v>
      </c>
      <c r="H179" s="34">
        <f t="shared" si="2"/>
        <v>0</v>
      </c>
      <c r="I179" s="34">
        <f t="shared" si="3"/>
        <v>0</v>
      </c>
      <c r="J179" s="34">
        <f t="shared" si="4"/>
        <v>0</v>
      </c>
    </row>
    <row r="180">
      <c r="A180" s="34" t="s">
        <v>578</v>
      </c>
      <c r="B180" s="35">
        <v>1.5E9</v>
      </c>
      <c r="C180" s="35"/>
      <c r="D180" s="34"/>
      <c r="E180" s="36"/>
      <c r="F180" s="37" t="str">
        <f t="shared" si="1"/>
        <v/>
      </c>
      <c r="G180" s="36">
        <f>IF(F180="",B180*Summary!$C$22,E180)</f>
        <v>9540535.714</v>
      </c>
      <c r="H180" s="34">
        <f t="shared" si="2"/>
        <v>0</v>
      </c>
      <c r="I180" s="34">
        <f t="shared" si="3"/>
        <v>0</v>
      </c>
      <c r="J180" s="34">
        <f t="shared" si="4"/>
        <v>0</v>
      </c>
    </row>
    <row r="181">
      <c r="A181" s="34" t="s">
        <v>580</v>
      </c>
      <c r="B181" s="35">
        <v>1.5E9</v>
      </c>
      <c r="C181" s="35"/>
      <c r="D181" s="34"/>
      <c r="E181" s="36"/>
      <c r="F181" s="37" t="str">
        <f t="shared" si="1"/>
        <v/>
      </c>
      <c r="G181" s="36">
        <f>IF(F181="",B181*Summary!$C$22,E181)</f>
        <v>9540535.714</v>
      </c>
      <c r="H181" s="34">
        <f t="shared" si="2"/>
        <v>0</v>
      </c>
      <c r="I181" s="34">
        <f t="shared" si="3"/>
        <v>0</v>
      </c>
      <c r="J181" s="34">
        <f t="shared" si="4"/>
        <v>0</v>
      </c>
    </row>
    <row r="182">
      <c r="A182" s="34" t="s">
        <v>581</v>
      </c>
      <c r="B182" s="35">
        <v>1.5E9</v>
      </c>
      <c r="C182" s="35">
        <v>4.0E7</v>
      </c>
      <c r="D182" s="36">
        <v>8195833.0</v>
      </c>
      <c r="E182" s="36">
        <v>8195833.0</v>
      </c>
      <c r="F182" s="37">
        <f t="shared" si="1"/>
        <v>0.005463888667</v>
      </c>
      <c r="G182" s="36">
        <f>IF(F182="",B182*Summary!$C$22,E182)</f>
        <v>8195833</v>
      </c>
      <c r="H182" s="34">
        <f t="shared" si="2"/>
        <v>1</v>
      </c>
      <c r="I182" s="34">
        <f t="shared" si="3"/>
        <v>0</v>
      </c>
      <c r="J182" s="34">
        <f t="shared" si="4"/>
        <v>1</v>
      </c>
    </row>
    <row r="183">
      <c r="A183" s="34" t="s">
        <v>585</v>
      </c>
      <c r="B183" s="35">
        <v>1.5E9</v>
      </c>
      <c r="C183" s="35"/>
      <c r="D183" s="34"/>
      <c r="E183" s="36"/>
      <c r="F183" s="37" t="str">
        <f t="shared" si="1"/>
        <v/>
      </c>
      <c r="G183" s="36">
        <f>IF(F183="",B183*Summary!$C$22,E183)</f>
        <v>9540535.714</v>
      </c>
      <c r="H183" s="34">
        <f t="shared" si="2"/>
        <v>0</v>
      </c>
      <c r="I183" s="34">
        <f t="shared" si="3"/>
        <v>0</v>
      </c>
      <c r="J183" s="34">
        <f t="shared" si="4"/>
        <v>0</v>
      </c>
    </row>
    <row r="184">
      <c r="A184" s="34" t="s">
        <v>590</v>
      </c>
      <c r="B184" s="35">
        <v>1.4E9</v>
      </c>
      <c r="C184" s="35">
        <v>7196000.0</v>
      </c>
      <c r="D184" s="36">
        <v>1.9420738E7</v>
      </c>
      <c r="E184" s="36">
        <v>1.9420738E7</v>
      </c>
      <c r="F184" s="37">
        <f t="shared" si="1"/>
        <v>0.01387195571</v>
      </c>
      <c r="G184" s="36">
        <f>IF(F184="",B184*Summary!$C$22,E184)</f>
        <v>19420738</v>
      </c>
      <c r="H184" s="34">
        <f t="shared" si="2"/>
        <v>1</v>
      </c>
      <c r="I184" s="34">
        <f t="shared" si="3"/>
        <v>0</v>
      </c>
      <c r="J184" s="34">
        <f t="shared" si="4"/>
        <v>1</v>
      </c>
    </row>
    <row r="185">
      <c r="A185" s="34" t="s">
        <v>595</v>
      </c>
      <c r="B185" s="35">
        <v>1.4E9</v>
      </c>
      <c r="C185" s="35"/>
      <c r="D185" s="36">
        <v>7271292.0</v>
      </c>
      <c r="E185" s="36">
        <v>7271292.0</v>
      </c>
      <c r="F185" s="37">
        <f t="shared" si="1"/>
        <v>0.00519378</v>
      </c>
      <c r="G185" s="36">
        <f>IF(F185="",B185*Summary!$C$22,E185)</f>
        <v>7271292</v>
      </c>
      <c r="H185" s="34">
        <f t="shared" si="2"/>
        <v>1</v>
      </c>
      <c r="I185" s="34">
        <f t="shared" si="3"/>
        <v>0</v>
      </c>
      <c r="J185" s="34">
        <f t="shared" si="4"/>
        <v>1</v>
      </c>
    </row>
    <row r="186">
      <c r="A186" s="34" t="s">
        <v>598</v>
      </c>
      <c r="B186" s="35">
        <v>1.4E9</v>
      </c>
      <c r="C186" s="35">
        <v>2850000.0</v>
      </c>
      <c r="D186" s="36">
        <v>8904500.0</v>
      </c>
      <c r="E186" s="36">
        <v>8904500.0</v>
      </c>
      <c r="F186" s="37">
        <f t="shared" si="1"/>
        <v>0.006360357143</v>
      </c>
      <c r="G186" s="36">
        <f>IF(F186="",B186*Summary!$C$22,E186)</f>
        <v>8904500</v>
      </c>
      <c r="H186" s="34">
        <f t="shared" si="2"/>
        <v>1</v>
      </c>
      <c r="I186" s="34">
        <f t="shared" si="3"/>
        <v>0</v>
      </c>
      <c r="J186" s="34">
        <f t="shared" si="4"/>
        <v>1</v>
      </c>
    </row>
    <row r="187">
      <c r="A187" s="34" t="s">
        <v>602</v>
      </c>
      <c r="B187" s="35">
        <v>1.4E9</v>
      </c>
      <c r="C187" s="35">
        <v>2.95E7</v>
      </c>
      <c r="D187" s="36">
        <v>2.95E7</v>
      </c>
      <c r="E187" s="36">
        <v>2.95E7</v>
      </c>
      <c r="F187" s="37">
        <f t="shared" si="1"/>
        <v>0.02107142857</v>
      </c>
      <c r="G187" s="36">
        <f>IF(F187="",B187*Summary!$C$22,E187)</f>
        <v>29500000</v>
      </c>
      <c r="H187" s="34">
        <f t="shared" si="2"/>
        <v>1</v>
      </c>
      <c r="I187" s="34">
        <f t="shared" si="3"/>
        <v>0</v>
      </c>
      <c r="J187" s="34">
        <f t="shared" si="4"/>
        <v>1</v>
      </c>
    </row>
    <row r="188">
      <c r="A188" s="34" t="s">
        <v>606</v>
      </c>
      <c r="B188" s="35">
        <v>1.4E9</v>
      </c>
      <c r="C188" s="35"/>
      <c r="D188" s="34"/>
      <c r="E188" s="36"/>
      <c r="F188" s="37" t="str">
        <f t="shared" si="1"/>
        <v/>
      </c>
      <c r="G188" s="36">
        <f>IF(F188="",B188*Summary!$C$22,E188)</f>
        <v>8904500</v>
      </c>
      <c r="H188" s="34">
        <f t="shared" si="2"/>
        <v>0</v>
      </c>
      <c r="I188" s="34">
        <f t="shared" si="3"/>
        <v>0</v>
      </c>
      <c r="J188" s="34">
        <f t="shared" si="4"/>
        <v>0</v>
      </c>
    </row>
    <row r="189">
      <c r="A189" s="39" t="s">
        <v>607</v>
      </c>
      <c r="B189" s="35">
        <v>1.4E9</v>
      </c>
      <c r="C189" s="35"/>
      <c r="D189" s="34"/>
      <c r="E189" s="36"/>
      <c r="F189" s="37" t="str">
        <f t="shared" si="1"/>
        <v/>
      </c>
      <c r="G189" s="36">
        <f>IF(F189="",B189*Summary!$C$22,E189)</f>
        <v>8904500</v>
      </c>
      <c r="H189" s="34">
        <f t="shared" si="2"/>
        <v>0</v>
      </c>
      <c r="I189" s="34">
        <f t="shared" si="3"/>
        <v>0</v>
      </c>
      <c r="J189" s="34">
        <f t="shared" si="4"/>
        <v>0</v>
      </c>
    </row>
    <row r="190">
      <c r="A190" s="34" t="s">
        <v>609</v>
      </c>
      <c r="B190" s="35">
        <v>1.3E9</v>
      </c>
      <c r="C190" s="35">
        <v>2648000.0</v>
      </c>
      <c r="D190" s="34"/>
      <c r="E190" s="36">
        <v>2648000.0</v>
      </c>
      <c r="F190" s="37">
        <f t="shared" si="1"/>
        <v>0.002036923077</v>
      </c>
      <c r="G190" s="36">
        <f>IF(F190="",B190*Summary!$C$22,E190)</f>
        <v>2648000</v>
      </c>
      <c r="H190" s="34">
        <f t="shared" si="2"/>
        <v>1</v>
      </c>
      <c r="I190" s="34">
        <f t="shared" si="3"/>
        <v>1</v>
      </c>
      <c r="J190" s="34">
        <f t="shared" si="4"/>
        <v>0</v>
      </c>
    </row>
    <row r="191">
      <c r="A191" s="34" t="s">
        <v>614</v>
      </c>
      <c r="B191" s="35">
        <v>1.3E9</v>
      </c>
      <c r="C191" s="35"/>
      <c r="D191" s="36">
        <v>8089000.0</v>
      </c>
      <c r="E191" s="36">
        <v>8089000.0</v>
      </c>
      <c r="F191" s="37">
        <f t="shared" si="1"/>
        <v>0.006222307692</v>
      </c>
      <c r="G191" s="36">
        <f>IF(F191="",B191*Summary!$C$22,E191)</f>
        <v>8089000</v>
      </c>
      <c r="H191" s="34">
        <f t="shared" si="2"/>
        <v>1</v>
      </c>
      <c r="I191" s="34">
        <f t="shared" si="3"/>
        <v>0</v>
      </c>
      <c r="J191" s="34">
        <f t="shared" si="4"/>
        <v>1</v>
      </c>
    </row>
    <row r="192">
      <c r="A192" s="34" t="s">
        <v>617</v>
      </c>
      <c r="B192" s="35">
        <v>1.3E9</v>
      </c>
      <c r="C192" s="35">
        <v>3006000.0</v>
      </c>
      <c r="D192" s="36">
        <v>1.4634965E7</v>
      </c>
      <c r="E192" s="36">
        <v>1.4634965E7</v>
      </c>
      <c r="F192" s="37">
        <f t="shared" si="1"/>
        <v>0.01125766538</v>
      </c>
      <c r="G192" s="36">
        <f>IF(F192="",B192*Summary!$C$22,E192)</f>
        <v>14634965</v>
      </c>
      <c r="H192" s="34">
        <f t="shared" si="2"/>
        <v>1</v>
      </c>
      <c r="I192" s="34">
        <f t="shared" si="3"/>
        <v>0</v>
      </c>
      <c r="J192" s="34">
        <f t="shared" si="4"/>
        <v>1</v>
      </c>
    </row>
    <row r="193">
      <c r="A193" s="34" t="s">
        <v>621</v>
      </c>
      <c r="B193" s="35">
        <v>1.3E9</v>
      </c>
      <c r="C193" s="35"/>
      <c r="D193" s="36">
        <v>1.3E7</v>
      </c>
      <c r="E193" s="36">
        <v>1.3E7</v>
      </c>
      <c r="F193" s="37">
        <f t="shared" si="1"/>
        <v>0.01</v>
      </c>
      <c r="G193" s="36">
        <f>IF(F193="",B193*Summary!$C$22,E193)</f>
        <v>13000000</v>
      </c>
      <c r="H193" s="34">
        <f t="shared" si="2"/>
        <v>1</v>
      </c>
      <c r="I193" s="34">
        <f t="shared" si="3"/>
        <v>0</v>
      </c>
      <c r="J193" s="34">
        <f t="shared" si="4"/>
        <v>1</v>
      </c>
    </row>
    <row r="194">
      <c r="A194" s="34" t="s">
        <v>623</v>
      </c>
      <c r="B194" s="35">
        <v>1.3E9</v>
      </c>
      <c r="C194" s="35">
        <v>3.5E7</v>
      </c>
      <c r="D194" s="34"/>
      <c r="E194" s="36">
        <v>3.5E7</v>
      </c>
      <c r="F194" s="37">
        <f t="shared" si="1"/>
        <v>0.02692307692</v>
      </c>
      <c r="G194" s="36">
        <f>IF(F194="",B194*Summary!$C$22,E194)</f>
        <v>35000000</v>
      </c>
      <c r="H194" s="34">
        <f t="shared" si="2"/>
        <v>1</v>
      </c>
      <c r="I194" s="34">
        <f t="shared" si="3"/>
        <v>1</v>
      </c>
      <c r="J194" s="34">
        <f t="shared" si="4"/>
        <v>0</v>
      </c>
    </row>
    <row r="195">
      <c r="A195" s="34" t="s">
        <v>625</v>
      </c>
      <c r="B195" s="35">
        <v>1.3E9</v>
      </c>
      <c r="C195" s="35"/>
      <c r="D195" s="34"/>
      <c r="E195" s="36"/>
      <c r="F195" s="37" t="str">
        <f t="shared" si="1"/>
        <v/>
      </c>
      <c r="G195" s="36">
        <f>IF(F195="",B195*Summary!$C$22,E195)</f>
        <v>8268464.286</v>
      </c>
      <c r="H195" s="34">
        <f t="shared" si="2"/>
        <v>0</v>
      </c>
      <c r="I195" s="34">
        <f t="shared" si="3"/>
        <v>0</v>
      </c>
      <c r="J195" s="34">
        <f t="shared" si="4"/>
        <v>0</v>
      </c>
    </row>
    <row r="196">
      <c r="A196" s="34" t="s">
        <v>629</v>
      </c>
      <c r="B196" s="35">
        <v>1.3E9</v>
      </c>
      <c r="C196" s="35"/>
      <c r="D196" s="34"/>
      <c r="E196" s="36"/>
      <c r="F196" s="37" t="str">
        <f t="shared" si="1"/>
        <v/>
      </c>
      <c r="G196" s="36">
        <f>IF(F196="",B196*Summary!$C$22,E196)</f>
        <v>8268464.286</v>
      </c>
      <c r="H196" s="34">
        <f t="shared" si="2"/>
        <v>0</v>
      </c>
      <c r="I196" s="34">
        <f t="shared" si="3"/>
        <v>0</v>
      </c>
      <c r="J196" s="34">
        <f t="shared" si="4"/>
        <v>0</v>
      </c>
    </row>
    <row r="197">
      <c r="A197" s="34" t="s">
        <v>630</v>
      </c>
      <c r="B197" s="35">
        <v>1.3E9</v>
      </c>
      <c r="C197" s="35"/>
      <c r="D197" s="36">
        <v>6797000.0</v>
      </c>
      <c r="E197" s="36">
        <v>6797000.0</v>
      </c>
      <c r="F197" s="37">
        <f t="shared" si="1"/>
        <v>0.005228461538</v>
      </c>
      <c r="G197" s="36">
        <f>IF(F197="",B197*Summary!$C$22,E197)</f>
        <v>6797000</v>
      </c>
      <c r="H197" s="34">
        <f t="shared" si="2"/>
        <v>1</v>
      </c>
      <c r="I197" s="34">
        <f t="shared" si="3"/>
        <v>0</v>
      </c>
      <c r="J197" s="34">
        <f t="shared" si="4"/>
        <v>1</v>
      </c>
    </row>
    <row r="198">
      <c r="A198" s="34" t="s">
        <v>633</v>
      </c>
      <c r="B198" s="35">
        <v>1.3E9</v>
      </c>
      <c r="C198" s="35">
        <v>3.7E7</v>
      </c>
      <c r="D198" s="36">
        <v>7.0E7</v>
      </c>
      <c r="E198" s="36">
        <v>7.0E7</v>
      </c>
      <c r="F198" s="37">
        <f t="shared" si="1"/>
        <v>0.05384615385</v>
      </c>
      <c r="G198" s="36">
        <f>IF(F198="",B198*Summary!$C$22,E198)</f>
        <v>70000000</v>
      </c>
      <c r="H198" s="34">
        <f t="shared" si="2"/>
        <v>1</v>
      </c>
      <c r="I198" s="34">
        <f t="shared" si="3"/>
        <v>0</v>
      </c>
      <c r="J198" s="34">
        <f t="shared" si="4"/>
        <v>1</v>
      </c>
    </row>
    <row r="199">
      <c r="A199" s="34" t="s">
        <v>636</v>
      </c>
      <c r="B199" s="35">
        <v>1.3E9</v>
      </c>
      <c r="C199" s="35"/>
      <c r="D199" s="34"/>
      <c r="E199" s="36"/>
      <c r="F199" s="37" t="str">
        <f t="shared" si="1"/>
        <v/>
      </c>
      <c r="G199" s="36">
        <f>IF(F199="",B199*Summary!$C$22,E199)</f>
        <v>8268464.286</v>
      </c>
      <c r="H199" s="34">
        <f t="shared" si="2"/>
        <v>0</v>
      </c>
      <c r="I199" s="34">
        <f t="shared" si="3"/>
        <v>0</v>
      </c>
      <c r="J199" s="34">
        <f t="shared" si="4"/>
        <v>0</v>
      </c>
    </row>
    <row r="200">
      <c r="A200" s="34" t="s">
        <v>637</v>
      </c>
      <c r="B200" s="35">
        <v>1.3E9</v>
      </c>
      <c r="C200" s="35"/>
      <c r="D200" s="34"/>
      <c r="E200" s="36"/>
      <c r="F200" s="37" t="str">
        <f t="shared" si="1"/>
        <v/>
      </c>
      <c r="G200" s="36">
        <f>IF(F200="",B200*Summary!$C$22,E200)</f>
        <v>8268464.286</v>
      </c>
      <c r="H200" s="34">
        <f t="shared" si="2"/>
        <v>0</v>
      </c>
      <c r="I200" s="34">
        <f t="shared" si="3"/>
        <v>0</v>
      </c>
      <c r="J200" s="34">
        <f t="shared" si="4"/>
        <v>0</v>
      </c>
    </row>
    <row r="201">
      <c r="A201" s="34" t="s">
        <v>638</v>
      </c>
      <c r="B201" s="35">
        <v>1.2E9</v>
      </c>
      <c r="C201" s="35"/>
      <c r="D201" s="34"/>
      <c r="E201" s="36"/>
      <c r="F201" s="37" t="str">
        <f t="shared" si="1"/>
        <v/>
      </c>
      <c r="G201" s="36">
        <f>IF(F201="",B201*Summary!$C$22,E201)</f>
        <v>7632428.571</v>
      </c>
      <c r="H201" s="34">
        <f t="shared" si="2"/>
        <v>0</v>
      </c>
      <c r="I201" s="34">
        <f t="shared" si="3"/>
        <v>0</v>
      </c>
      <c r="J201" s="34">
        <f t="shared" si="4"/>
        <v>0</v>
      </c>
    </row>
    <row r="202">
      <c r="A202" s="34" t="s">
        <v>640</v>
      </c>
      <c r="B202" s="35">
        <v>1.2E9</v>
      </c>
      <c r="C202" s="35"/>
      <c r="D202" s="34"/>
      <c r="E202" s="36"/>
      <c r="F202" s="37" t="str">
        <f t="shared" si="1"/>
        <v/>
      </c>
      <c r="G202" s="36">
        <f>IF(F202="",B202*Summary!$C$22,E202)</f>
        <v>7632428.571</v>
      </c>
      <c r="H202" s="34">
        <f t="shared" si="2"/>
        <v>0</v>
      </c>
      <c r="I202" s="34">
        <f t="shared" si="3"/>
        <v>0</v>
      </c>
      <c r="J202" s="34">
        <f t="shared" si="4"/>
        <v>0</v>
      </c>
    </row>
    <row r="203">
      <c r="A203" s="34" t="s">
        <v>641</v>
      </c>
      <c r="B203" s="35">
        <v>1.2E9</v>
      </c>
      <c r="C203" s="35"/>
      <c r="D203" s="36">
        <v>5413302.0</v>
      </c>
      <c r="E203" s="36">
        <v>5413302.0</v>
      </c>
      <c r="F203" s="37">
        <f t="shared" si="1"/>
        <v>0.004511085</v>
      </c>
      <c r="G203" s="36">
        <f>IF(F203="",B203*Summary!$C$22,E203)</f>
        <v>5413302</v>
      </c>
      <c r="H203" s="34">
        <f t="shared" si="2"/>
        <v>1</v>
      </c>
      <c r="I203" s="34">
        <f t="shared" si="3"/>
        <v>0</v>
      </c>
      <c r="J203" s="34">
        <f t="shared" si="4"/>
        <v>1</v>
      </c>
    </row>
    <row r="204">
      <c r="A204" s="34" t="s">
        <v>645</v>
      </c>
      <c r="B204" s="35">
        <v>1.2E9</v>
      </c>
      <c r="C204" s="35"/>
      <c r="D204" s="36">
        <v>4.3371212E7</v>
      </c>
      <c r="E204" s="36">
        <v>2.7995E7</v>
      </c>
      <c r="F204" s="37">
        <f t="shared" si="1"/>
        <v>0.02332916667</v>
      </c>
      <c r="G204" s="36">
        <f>IF(F204="",B204*Summary!$C$22,E204)</f>
        <v>27995000</v>
      </c>
      <c r="H204" s="34">
        <f t="shared" si="2"/>
        <v>1</v>
      </c>
      <c r="I204" s="34">
        <f t="shared" si="3"/>
        <v>0</v>
      </c>
      <c r="J204" s="34">
        <f t="shared" si="4"/>
        <v>1</v>
      </c>
    </row>
    <row r="205">
      <c r="A205" s="39" t="s">
        <v>648</v>
      </c>
      <c r="B205" s="35">
        <v>1.1E9</v>
      </c>
      <c r="C205" s="35">
        <v>5299000.0</v>
      </c>
      <c r="D205" s="40">
        <v>1.0887E7</v>
      </c>
      <c r="E205" s="40">
        <v>1.0887E7</v>
      </c>
      <c r="F205" s="37">
        <f t="shared" si="1"/>
        <v>0.009897272727</v>
      </c>
      <c r="G205" s="36">
        <f>IF(F205="",B205*Summary!$C$22,E205)</f>
        <v>10887000</v>
      </c>
      <c r="H205" s="34">
        <f t="shared" si="2"/>
        <v>1</v>
      </c>
      <c r="I205" s="34">
        <f t="shared" si="3"/>
        <v>0</v>
      </c>
      <c r="J205" s="34">
        <f t="shared" si="4"/>
        <v>1</v>
      </c>
    </row>
    <row r="206">
      <c r="A206" s="34" t="s">
        <v>652</v>
      </c>
      <c r="B206" s="35">
        <v>1.1E9</v>
      </c>
      <c r="C206" s="35">
        <v>1.3122419E7</v>
      </c>
      <c r="D206" s="34"/>
      <c r="E206" s="36">
        <v>1.3122419E7</v>
      </c>
      <c r="F206" s="37">
        <f t="shared" si="1"/>
        <v>0.01192947182</v>
      </c>
      <c r="G206" s="36">
        <f>IF(F206="",B206*Summary!$C$22,E206)</f>
        <v>13122419</v>
      </c>
      <c r="H206" s="34">
        <f t="shared" si="2"/>
        <v>1</v>
      </c>
      <c r="I206" s="34">
        <f t="shared" si="3"/>
        <v>1</v>
      </c>
      <c r="J206" s="34">
        <f t="shared" si="4"/>
        <v>0</v>
      </c>
    </row>
    <row r="207">
      <c r="A207" s="41" t="s">
        <v>655</v>
      </c>
      <c r="B207" s="35">
        <v>1.1E9</v>
      </c>
      <c r="C207" s="35"/>
      <c r="D207" s="34"/>
      <c r="E207" s="36"/>
      <c r="F207" s="37" t="str">
        <f t="shared" si="1"/>
        <v/>
      </c>
      <c r="G207" s="36">
        <f>IF(F207="",B207*Summary!$C$22,E207)</f>
        <v>6996392.857</v>
      </c>
      <c r="H207" s="34">
        <f t="shared" si="2"/>
        <v>0</v>
      </c>
      <c r="I207" s="34">
        <f t="shared" si="3"/>
        <v>0</v>
      </c>
      <c r="J207" s="34">
        <f t="shared" si="4"/>
        <v>0</v>
      </c>
    </row>
    <row r="208">
      <c r="A208" s="41" t="s">
        <v>656</v>
      </c>
      <c r="B208" s="35">
        <v>1.1E9</v>
      </c>
      <c r="C208" s="35"/>
      <c r="D208" s="34"/>
      <c r="E208" s="36"/>
      <c r="F208" s="37" t="str">
        <f t="shared" si="1"/>
        <v/>
      </c>
      <c r="G208" s="36">
        <f>IF(F208="",B208*Summary!$C$22,E208)</f>
        <v>6996392.857</v>
      </c>
      <c r="H208" s="34">
        <f t="shared" si="2"/>
        <v>0</v>
      </c>
      <c r="I208" s="34">
        <f t="shared" si="3"/>
        <v>0</v>
      </c>
      <c r="J208" s="34">
        <f t="shared" si="4"/>
        <v>0</v>
      </c>
    </row>
    <row r="209">
      <c r="A209" s="34" t="s">
        <v>657</v>
      </c>
      <c r="B209" s="35">
        <v>1.1E9</v>
      </c>
      <c r="C209" s="35">
        <v>2.8090701E7</v>
      </c>
      <c r="D209" s="34"/>
      <c r="E209" s="36">
        <v>2.8090701E7</v>
      </c>
      <c r="F209" s="37">
        <f t="shared" si="1"/>
        <v>0.02553700091</v>
      </c>
      <c r="G209" s="36">
        <f>IF(F209="",B209*Summary!$C$22,E209)</f>
        <v>28090701</v>
      </c>
      <c r="H209" s="34">
        <f t="shared" si="2"/>
        <v>1</v>
      </c>
      <c r="I209" s="34">
        <f t="shared" si="3"/>
        <v>1</v>
      </c>
      <c r="J209" s="34">
        <f t="shared" si="4"/>
        <v>0</v>
      </c>
    </row>
    <row r="210">
      <c r="A210" s="41" t="s">
        <v>661</v>
      </c>
      <c r="B210" s="35">
        <v>1.0E9</v>
      </c>
      <c r="C210" s="35"/>
      <c r="D210" s="34"/>
      <c r="E210" s="36"/>
      <c r="F210" s="37" t="str">
        <f t="shared" si="1"/>
        <v/>
      </c>
      <c r="G210" s="36">
        <f>IF(F210="",B210*Summary!$C$22,E210)</f>
        <v>6360357.143</v>
      </c>
      <c r="H210" s="34">
        <f t="shared" si="2"/>
        <v>0</v>
      </c>
      <c r="I210" s="34">
        <f t="shared" si="3"/>
        <v>0</v>
      </c>
      <c r="J210" s="34">
        <f t="shared" si="4"/>
        <v>0</v>
      </c>
    </row>
    <row r="211">
      <c r="A211" s="34" t="s">
        <v>663</v>
      </c>
      <c r="B211" s="35">
        <v>1.0E9</v>
      </c>
      <c r="C211" s="35"/>
      <c r="D211" s="34"/>
      <c r="E211" s="36"/>
      <c r="F211" s="37" t="str">
        <f t="shared" si="1"/>
        <v/>
      </c>
      <c r="G211" s="36">
        <f>IF(F211="",B211*Summary!$C$22,E211)</f>
        <v>6360357.143</v>
      </c>
      <c r="H211" s="34">
        <f t="shared" si="2"/>
        <v>0</v>
      </c>
      <c r="I211" s="34">
        <f t="shared" si="3"/>
        <v>0</v>
      </c>
      <c r="J211" s="34">
        <f t="shared" si="4"/>
        <v>0</v>
      </c>
    </row>
    <row r="212">
      <c r="A212" s="34" t="s">
        <v>664</v>
      </c>
      <c r="B212" s="35">
        <v>1.0E9</v>
      </c>
      <c r="C212" s="35"/>
      <c r="D212" s="34"/>
      <c r="E212" s="36"/>
      <c r="F212" s="37" t="str">
        <f t="shared" si="1"/>
        <v/>
      </c>
      <c r="G212" s="36">
        <f>IF(F212="",B212*Summary!$C$22,E212)</f>
        <v>6360357.143</v>
      </c>
      <c r="H212" s="34">
        <f t="shared" si="2"/>
        <v>0</v>
      </c>
      <c r="I212" s="34">
        <f t="shared" si="3"/>
        <v>0</v>
      </c>
      <c r="J212" s="34">
        <f t="shared" si="4"/>
        <v>0</v>
      </c>
    </row>
    <row r="213">
      <c r="A213" s="39" t="s">
        <v>812</v>
      </c>
      <c r="B213" s="38">
        <v>2.0E9</v>
      </c>
      <c r="C213" s="38">
        <v>1.27526E7</v>
      </c>
      <c r="D213" s="34"/>
      <c r="E213" s="36">
        <f>C213</f>
        <v>12752600</v>
      </c>
      <c r="F213" s="37">
        <f t="shared" si="1"/>
        <v>0.0063763</v>
      </c>
      <c r="G213" s="36">
        <f>IF(F213="",B213*Summary!$C$22,E213)</f>
        <v>12752600</v>
      </c>
      <c r="H213" s="34">
        <f t="shared" si="2"/>
        <v>1</v>
      </c>
      <c r="I213" s="34">
        <f t="shared" si="3"/>
        <v>1</v>
      </c>
      <c r="J213" s="34">
        <f t="shared" si="4"/>
        <v>0</v>
      </c>
    </row>
    <row r="214">
      <c r="B214" s="11"/>
      <c r="G214" s="13"/>
      <c r="H214" s="13"/>
      <c r="I214" s="13"/>
      <c r="J214" s="13"/>
    </row>
    <row r="215">
      <c r="B215" s="11"/>
      <c r="E215" s="4" t="s">
        <v>746</v>
      </c>
      <c r="F215" s="4" t="s">
        <v>747</v>
      </c>
      <c r="G215" s="13"/>
      <c r="H215" s="13" t="s">
        <v>743</v>
      </c>
      <c r="I215" s="13" t="s">
        <v>744</v>
      </c>
      <c r="J215" s="13" t="s">
        <v>745</v>
      </c>
    </row>
    <row r="216">
      <c r="B216" s="11"/>
      <c r="D216" s="4" t="s">
        <v>675</v>
      </c>
      <c r="E216" s="19">
        <f>AVERAGE(F2:F213)</f>
        <v>0.01184434343</v>
      </c>
      <c r="F216" s="3">
        <f>AVERAGE(E2:E213)</f>
        <v>52607537.72</v>
      </c>
      <c r="H216" s="2">
        <f t="shared" ref="H216:J216" si="5">SUM(H2:H213)</f>
        <v>119</v>
      </c>
      <c r="I216" s="2">
        <f t="shared" si="5"/>
        <v>58</v>
      </c>
      <c r="J216" s="2">
        <f t="shared" si="5"/>
        <v>61</v>
      </c>
    </row>
    <row r="217">
      <c r="B217" s="11"/>
      <c r="D217" s="4" t="s">
        <v>676</v>
      </c>
      <c r="E217" s="19">
        <f>MEDIAN(F2:F213)</f>
        <v>0.0063763</v>
      </c>
      <c r="F217" s="18">
        <f>MEDIAN(E2:E213)</f>
        <v>20150000</v>
      </c>
    </row>
    <row r="218">
      <c r="B218" s="11"/>
      <c r="D218" s="4" t="s">
        <v>748</v>
      </c>
      <c r="E218" s="19">
        <f>PERCENTILE(F2:F213,0.25)</f>
        <v>0.00306039504</v>
      </c>
      <c r="F218" s="18">
        <f>PERCENTILE(E2:E213,0.25)</f>
        <v>10924231</v>
      </c>
    </row>
    <row r="219">
      <c r="B219" s="11"/>
      <c r="D219" s="4" t="s">
        <v>749</v>
      </c>
      <c r="E219" s="19">
        <f>PERCENTILE(F2:F213,0.75)</f>
        <v>0.0142791762</v>
      </c>
      <c r="F219" s="18">
        <f>PERCENTILE(E2:E213,0.75)</f>
        <v>58411381</v>
      </c>
    </row>
    <row r="220">
      <c r="B220" s="11"/>
      <c r="D220" s="4" t="s">
        <v>750</v>
      </c>
      <c r="E220" s="19">
        <f>max(F2:F213)</f>
        <v>0.09315789474</v>
      </c>
      <c r="F220" s="18">
        <f>max(E2:E213)</f>
        <v>600000000</v>
      </c>
    </row>
    <row r="221">
      <c r="B221" s="11"/>
      <c r="D221" s="4" t="s">
        <v>751</v>
      </c>
      <c r="E221" s="4">
        <f>countif(E2:E213,"&gt;0")</f>
        <v>119</v>
      </c>
      <c r="F221" s="18">
        <f>countif(E2:E213,"&gt;0")</f>
        <v>119</v>
      </c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2.63"/>
    <col customWidth="1" min="3" max="3" width="15.88"/>
    <col customWidth="1" min="5" max="5" width="14.75"/>
    <col customWidth="1" min="11" max="11" width="20.25"/>
    <col collapsed="1" min="12" max="12" width="12.63"/>
    <col hidden="1" min="13" max="13" width="12.63" outlineLevel="1"/>
    <col customWidth="1" min="14" max="14" width="15.25"/>
  </cols>
  <sheetData>
    <row r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N1" s="51" t="s">
        <v>814</v>
      </c>
      <c r="O1" s="53" t="s">
        <v>815</v>
      </c>
    </row>
    <row r="2">
      <c r="A2" s="42"/>
      <c r="B2" s="43" t="s">
        <v>752</v>
      </c>
      <c r="C2" s="21"/>
      <c r="D2" s="21"/>
      <c r="E2" s="21"/>
      <c r="F2" s="21"/>
      <c r="G2" s="21"/>
      <c r="H2" s="21"/>
      <c r="I2" s="44" t="s">
        <v>753</v>
      </c>
      <c r="J2" s="45"/>
      <c r="K2" s="46"/>
      <c r="M2" s="4">
        <v>1.0E9</v>
      </c>
      <c r="N2" s="34" t="s">
        <v>100</v>
      </c>
      <c r="O2" s="34">
        <f>COUNTIF(Calculations_Preferred!$E$3:$E$214,N2)</f>
        <v>59</v>
      </c>
    </row>
    <row r="3">
      <c r="A3" s="42"/>
      <c r="B3" s="47"/>
      <c r="C3" s="43" t="s">
        <v>754</v>
      </c>
      <c r="D3" s="21"/>
      <c r="E3" s="21"/>
      <c r="F3" s="43" t="s">
        <v>755</v>
      </c>
      <c r="G3" s="21"/>
      <c r="H3" s="22"/>
      <c r="I3" s="48"/>
      <c r="J3" s="49"/>
      <c r="K3" s="50"/>
      <c r="N3" s="76" t="s">
        <v>47</v>
      </c>
      <c r="O3" s="34">
        <f>COUNTIF(Calculations_Preferred!$E$3:$E$214,N3)</f>
        <v>38</v>
      </c>
    </row>
    <row r="4">
      <c r="A4" s="42"/>
      <c r="B4" s="47" t="s">
        <v>756</v>
      </c>
      <c r="C4" s="51" t="s">
        <v>757</v>
      </c>
      <c r="D4" s="51" t="s">
        <v>758</v>
      </c>
      <c r="E4" s="52" t="s">
        <v>759</v>
      </c>
      <c r="F4" s="47" t="s">
        <v>757</v>
      </c>
      <c r="G4" s="51" t="s">
        <v>758</v>
      </c>
      <c r="H4" s="53" t="s">
        <v>759</v>
      </c>
      <c r="I4" s="47" t="s">
        <v>760</v>
      </c>
      <c r="J4" s="51" t="s">
        <v>757</v>
      </c>
      <c r="K4" s="53" t="s">
        <v>761</v>
      </c>
      <c r="N4" s="34" t="s">
        <v>17</v>
      </c>
      <c r="O4" s="34">
        <f>COUNTIF(Calculations_Preferred!$E$3:$E$214,N4)</f>
        <v>20</v>
      </c>
    </row>
    <row r="5">
      <c r="A5" s="42"/>
      <c r="B5" s="54" t="s">
        <v>762</v>
      </c>
      <c r="C5" s="55">
        <f>SUM(Calculations_Preferred!O3:O214)/$M$2</f>
        <v>94.30426206</v>
      </c>
      <c r="D5" s="55">
        <f>SUM(Calculations!Q3:Q216)/M2</f>
        <v>62.86431961</v>
      </c>
      <c r="E5" s="56">
        <f t="shared" ref="E5:E6" si="1">SUM(C5:D5)</f>
        <v>157.1685817</v>
      </c>
      <c r="F5" s="55">
        <f>SUMIF(Calculations_Preferred!F3:F214,"N",Calculations_Preferred!O3:O214)/$M$2</f>
        <v>67.51064969</v>
      </c>
      <c r="G5" s="55">
        <f>SUMIF(Calculations!F3:F215,"N",Calculations!Q3:Q216)/$M$2</f>
        <v>39.17808441</v>
      </c>
      <c r="H5" s="57">
        <f t="shared" ref="H5:H6" si="2">SUM(F5:G5)</f>
        <v>106.6887341</v>
      </c>
      <c r="I5" s="58">
        <f t="shared" ref="I5:I6" si="3">(C5-F5)/C5</f>
        <v>0.2841187851</v>
      </c>
      <c r="J5" s="59">
        <v>0.05</v>
      </c>
      <c r="K5" s="55">
        <f t="shared" ref="K5:K6" si="4">I5/J5</f>
        <v>5.682375703</v>
      </c>
      <c r="N5" s="34" t="s">
        <v>80</v>
      </c>
      <c r="O5" s="34">
        <f>COUNTIF(Calculations_Preferred!$E$3:$E$214,N5)</f>
        <v>12</v>
      </c>
    </row>
    <row r="6">
      <c r="A6" s="42"/>
      <c r="B6" s="54" t="s">
        <v>763</v>
      </c>
      <c r="C6" s="55">
        <f>SUM(Calculations_Preferred!S3:S214)/$M$2</f>
        <v>108.4499014</v>
      </c>
      <c r="D6" s="55">
        <f>SUM(Calculations!U3:U216)/M2</f>
        <v>72.29396755</v>
      </c>
      <c r="E6" s="56">
        <f t="shared" si="1"/>
        <v>180.7438689</v>
      </c>
      <c r="F6" s="60">
        <f>SUMIF(Calculations_Preferred!F3:F214,"N",Calculations_Preferred!S3:S214)/$M$2</f>
        <v>77.63724714</v>
      </c>
      <c r="G6" s="55">
        <f>SUMIF(Calculations!F3:F215,"N",Calculations!U3:U216)/$M$2</f>
        <v>45.05479707</v>
      </c>
      <c r="H6" s="57">
        <f t="shared" si="2"/>
        <v>122.6920442</v>
      </c>
      <c r="I6" s="58">
        <f t="shared" si="3"/>
        <v>0.2841187851</v>
      </c>
      <c r="J6" s="61">
        <v>0.05</v>
      </c>
      <c r="K6" s="55">
        <f t="shared" si="4"/>
        <v>5.682375703</v>
      </c>
      <c r="N6" s="34" t="s">
        <v>90</v>
      </c>
      <c r="O6" s="34">
        <f>COUNTIF(Calculations_Preferred!$E$3:$E$214,N6)</f>
        <v>9</v>
      </c>
    </row>
    <row r="7">
      <c r="A7" s="42"/>
      <c r="B7" s="47" t="s">
        <v>764</v>
      </c>
      <c r="C7" s="43" t="s">
        <v>754</v>
      </c>
      <c r="D7" s="21"/>
      <c r="E7" s="21"/>
      <c r="F7" s="43" t="s">
        <v>755</v>
      </c>
      <c r="G7" s="21"/>
      <c r="H7" s="22"/>
      <c r="I7" s="47" t="s">
        <v>760</v>
      </c>
      <c r="J7" s="51" t="s">
        <v>757</v>
      </c>
      <c r="K7" s="53" t="s">
        <v>761</v>
      </c>
      <c r="N7" s="34" t="s">
        <v>52</v>
      </c>
      <c r="O7" s="34">
        <f>COUNTIF(Calculations_Preferred!$E$3:$E$214,N7)</f>
        <v>4</v>
      </c>
    </row>
    <row r="8">
      <c r="A8" s="42"/>
      <c r="B8" s="54" t="s">
        <v>765</v>
      </c>
      <c r="C8" s="55">
        <v>94.2</v>
      </c>
      <c r="D8" s="55"/>
      <c r="E8" s="55"/>
      <c r="F8" s="60">
        <f t="shared" ref="F8:F10" si="5">-1*((I8*C8)-C8)</f>
        <v>45.5928</v>
      </c>
      <c r="G8" s="34"/>
      <c r="H8" s="55"/>
      <c r="I8" s="58">
        <f t="shared" ref="I8:I10" si="6">K8*J8</f>
        <v>0.516</v>
      </c>
      <c r="J8" s="61">
        <v>0.05</v>
      </c>
      <c r="K8" s="55">
        <v>10.32</v>
      </c>
      <c r="N8" s="34" t="s">
        <v>24</v>
      </c>
      <c r="O8" s="34">
        <f>COUNTIF(Calculations_Preferred!$E$3:$E$214,N8)</f>
        <v>4</v>
      </c>
    </row>
    <row r="9">
      <c r="B9" s="54" t="s">
        <v>766</v>
      </c>
      <c r="C9" s="55">
        <v>94.2</v>
      </c>
      <c r="D9" s="55"/>
      <c r="E9" s="55"/>
      <c r="F9" s="60">
        <f t="shared" si="5"/>
        <v>35.325</v>
      </c>
      <c r="G9" s="34"/>
      <c r="H9" s="55"/>
      <c r="I9" s="58">
        <f t="shared" si="6"/>
        <v>0.625</v>
      </c>
      <c r="J9" s="61">
        <v>0.05</v>
      </c>
      <c r="K9" s="55">
        <v>12.5</v>
      </c>
      <c r="N9" s="76" t="s">
        <v>354</v>
      </c>
      <c r="O9" s="34">
        <f>COUNTIF(Calculations_Preferred!$E$3:$E$214,N9)</f>
        <v>4</v>
      </c>
    </row>
    <row r="10">
      <c r="B10" s="54" t="s">
        <v>767</v>
      </c>
      <c r="C10" s="55">
        <v>94.2</v>
      </c>
      <c r="D10" s="55"/>
      <c r="E10" s="55"/>
      <c r="F10" s="60">
        <f t="shared" si="5"/>
        <v>23.55</v>
      </c>
      <c r="G10" s="34"/>
      <c r="H10" s="55"/>
      <c r="I10" s="58">
        <f t="shared" si="6"/>
        <v>0.75</v>
      </c>
      <c r="J10" s="61">
        <v>0.05</v>
      </c>
      <c r="K10" s="55">
        <v>15.0</v>
      </c>
      <c r="N10" s="34" t="s">
        <v>218</v>
      </c>
      <c r="O10" s="34">
        <f>COUNTIF(Calculations_Preferred!$E$3:$E$214,N10)</f>
        <v>4</v>
      </c>
    </row>
    <row r="11">
      <c r="C11" s="63"/>
      <c r="G11" s="63"/>
      <c r="I11" s="64"/>
      <c r="J11" s="64"/>
      <c r="K11" s="4"/>
      <c r="N11" s="34" t="s">
        <v>30</v>
      </c>
      <c r="O11" s="34">
        <f>COUNTIF(Calculations_Preferred!$E$3:$E$214,N11)</f>
        <v>3</v>
      </c>
    </row>
    <row r="12">
      <c r="B12" s="65" t="s">
        <v>768</v>
      </c>
      <c r="C12" s="51" t="s">
        <v>769</v>
      </c>
      <c r="D12" s="65" t="s">
        <v>682</v>
      </c>
      <c r="E12" s="65" t="s">
        <v>770</v>
      </c>
      <c r="F12" s="65" t="s">
        <v>771</v>
      </c>
      <c r="G12" s="63"/>
      <c r="I12" s="64"/>
      <c r="J12" s="64"/>
      <c r="K12" s="4"/>
      <c r="N12" s="34" t="s">
        <v>63</v>
      </c>
      <c r="O12" s="34">
        <f>COUNTIF(Calculations_Preferred!$E$3:$E$214,N12)</f>
        <v>3</v>
      </c>
    </row>
    <row r="13">
      <c r="B13" s="39" t="s">
        <v>772</v>
      </c>
      <c r="C13" s="39" t="s">
        <v>34</v>
      </c>
      <c r="D13" s="36">
        <f>COUNTIF(Calculations_Preferred!$F$3:$F$214,$C13)</f>
        <v>206</v>
      </c>
      <c r="E13" s="66">
        <f>SUMIF(Calculations_Preferred!$F$3:$F$214,$C13,Calculations_Preferred!$D$3:$D$214)/$M$2</f>
        <v>1358.4</v>
      </c>
      <c r="F13" s="37">
        <f>E14/E15</f>
        <v>0.2830905636</v>
      </c>
      <c r="G13" s="63"/>
      <c r="N13" s="34" t="s">
        <v>113</v>
      </c>
      <c r="O13" s="34">
        <f>COUNTIF(Calculations_Preferred!$E$3:$E$214,N13)</f>
        <v>3</v>
      </c>
    </row>
    <row r="14">
      <c r="B14" s="39" t="s">
        <v>773</v>
      </c>
      <c r="C14" s="39" t="s">
        <v>18</v>
      </c>
      <c r="D14" s="36">
        <f>COUNTIF(Calculations_Preferred!$F$3:$F$214,$C14)</f>
        <v>6</v>
      </c>
      <c r="E14" s="66">
        <f>SUMIF(Calculations_Preferred!$F$3:$F$214,$C14,Calculations_Preferred!$D$3:$D$214)/$M$2</f>
        <v>536.4</v>
      </c>
      <c r="F14" s="37">
        <f>E13/E15</f>
        <v>0.7169094364</v>
      </c>
      <c r="N14" s="34" t="s">
        <v>268</v>
      </c>
      <c r="O14" s="34">
        <f>COUNTIF(Calculations_Preferred!$E$3:$E$214,N14)</f>
        <v>3</v>
      </c>
    </row>
    <row r="15">
      <c r="B15" s="67"/>
      <c r="C15" s="68" t="s">
        <v>681</v>
      </c>
      <c r="D15" s="69">
        <f t="shared" ref="D15:F15" si="7">SUM(D13:D14)</f>
        <v>212</v>
      </c>
      <c r="E15" s="70">
        <f t="shared" si="7"/>
        <v>1894.8</v>
      </c>
      <c r="F15" s="71">
        <f t="shared" si="7"/>
        <v>1</v>
      </c>
      <c r="N15" s="34" t="s">
        <v>308</v>
      </c>
      <c r="O15" s="34">
        <f>COUNTIF(Calculations_Preferred!$E$3:$E$214,N15)</f>
        <v>3</v>
      </c>
    </row>
    <row r="16">
      <c r="D16" s="4"/>
      <c r="E16" s="4"/>
      <c r="N16" s="34" t="s">
        <v>440</v>
      </c>
      <c r="O16" s="34">
        <f>COUNTIF(Calculations_Preferred!$E$3:$E$214,N16)</f>
        <v>3</v>
      </c>
    </row>
    <row r="17">
      <c r="N17" s="34" t="s">
        <v>87</v>
      </c>
      <c r="O17" s="34">
        <f>COUNTIF(Calculations_Preferred!$E$3:$E$214,N17)</f>
        <v>2</v>
      </c>
    </row>
    <row r="18">
      <c r="B18" s="72" t="s">
        <v>774</v>
      </c>
      <c r="C18" s="21"/>
      <c r="D18" s="22"/>
      <c r="N18" s="34" t="s">
        <v>166</v>
      </c>
      <c r="O18" s="34">
        <f>COUNTIF(Calculations_Preferred!$E$3:$E$214,N18)</f>
        <v>2</v>
      </c>
    </row>
    <row r="19">
      <c r="B19" s="39" t="s">
        <v>675</v>
      </c>
      <c r="C19" s="37">
        <f>average(Real_Estate_Stats_Preferred!F2:F213)</f>
        <v>0.01184434343</v>
      </c>
      <c r="D19" s="34"/>
      <c r="N19" s="34" t="s">
        <v>191</v>
      </c>
      <c r="O19" s="34">
        <f>COUNTIF(Calculations_Preferred!$E$3:$E$214,N19)</f>
        <v>2</v>
      </c>
    </row>
    <row r="20">
      <c r="B20" s="39" t="s">
        <v>676</v>
      </c>
      <c r="C20" s="37">
        <f>median(Real_Estate_Stats_Preferred!F2:F213)</f>
        <v>0.0063763</v>
      </c>
      <c r="D20" s="34"/>
      <c r="N20" s="34" t="s">
        <v>238</v>
      </c>
      <c r="O20" s="34">
        <f>COUNTIF(Calculations_Preferred!$E$3:$E$214,N20)</f>
        <v>2</v>
      </c>
    </row>
    <row r="21">
      <c r="B21" s="72" t="s">
        <v>775</v>
      </c>
      <c r="C21" s="21"/>
      <c r="D21" s="22"/>
      <c r="N21" s="34" t="s">
        <v>256</v>
      </c>
      <c r="O21" s="34">
        <f>COUNTIF(Calculations_Preferred!$E$3:$E$214,N21)</f>
        <v>2</v>
      </c>
    </row>
    <row r="22">
      <c r="B22" s="65" t="s">
        <v>776</v>
      </c>
      <c r="C22" s="73" t="s">
        <v>777</v>
      </c>
      <c r="D22" s="65" t="s">
        <v>772</v>
      </c>
      <c r="N22" s="34" t="s">
        <v>263</v>
      </c>
      <c r="O22" s="34">
        <f>COUNTIF(Calculations_Preferred!$E$3:$E$214,N22)</f>
        <v>2</v>
      </c>
    </row>
    <row r="23">
      <c r="B23" s="39" t="s">
        <v>778</v>
      </c>
      <c r="C23" s="74">
        <f>SUM(Calculations_Preferred!D3:D214)/M2</f>
        <v>1894.8</v>
      </c>
      <c r="D23" s="74">
        <f>SUMIF(Calculations_Preferred!F3:F214,"N",Calculations_Preferred!D3:D214)/M2</f>
        <v>1358.4</v>
      </c>
      <c r="N23" s="34" t="s">
        <v>329</v>
      </c>
      <c r="O23" s="34">
        <f>COUNTIF(Calculations_Preferred!$E$3:$E$214,N23)</f>
        <v>2</v>
      </c>
    </row>
    <row r="24">
      <c r="B24" s="39" t="s">
        <v>779</v>
      </c>
      <c r="C24" s="74">
        <f>SUM(Calculations_Preferred!L3:L214)/M2</f>
        <v>1886.085241</v>
      </c>
      <c r="D24" s="74">
        <f>SUMIF(Calculations_Preferred!F3:F214,"N",Calculations_Preferred!L3:L214)/M2</f>
        <v>1350.212994</v>
      </c>
      <c r="N24" s="34" t="s">
        <v>68</v>
      </c>
      <c r="O24" s="34">
        <f>COUNTIF(Calculations_Preferred!$E$3:$E$214,N24)</f>
        <v>1</v>
      </c>
    </row>
    <row r="25">
      <c r="B25" s="68" t="s">
        <v>780</v>
      </c>
      <c r="C25" s="75">
        <f t="shared" ref="C25:D25" si="8">C23-C24</f>
        <v>8.71475881</v>
      </c>
      <c r="D25" s="75">
        <f t="shared" si="8"/>
        <v>8.18700621</v>
      </c>
      <c r="N25" s="34" t="s">
        <v>72</v>
      </c>
      <c r="O25" s="34">
        <f>COUNTIF(Calculations_Preferred!$E$3:$E$214,N25)</f>
        <v>1</v>
      </c>
    </row>
    <row r="26">
      <c r="B26" s="77" t="s">
        <v>816</v>
      </c>
      <c r="C26" s="21"/>
      <c r="D26" s="22"/>
      <c r="N26" s="34" t="s">
        <v>84</v>
      </c>
      <c r="O26" s="34">
        <f>COUNTIF(Calculations_Preferred!$E$3:$E$214,N26)</f>
        <v>1</v>
      </c>
    </row>
    <row r="27">
      <c r="B27" s="39" t="s">
        <v>671</v>
      </c>
      <c r="C27" s="78">
        <f>SUM(Calculations_Preferred!D3:D22)/M2</f>
        <v>1213</v>
      </c>
      <c r="D27" s="37">
        <f t="shared" ref="D27:D29" si="9">C27/$C$23</f>
        <v>0.6401731053</v>
      </c>
      <c r="N27" s="34" t="s">
        <v>106</v>
      </c>
      <c r="O27" s="34">
        <f>COUNTIF(Calculations_Preferred!$E$3:$E$214,N27)</f>
        <v>1</v>
      </c>
    </row>
    <row r="28">
      <c r="B28" s="39" t="s">
        <v>672</v>
      </c>
      <c r="C28" s="78">
        <f>SUM(Calculations_Preferred!D3:D12)/M2</f>
        <v>1047</v>
      </c>
      <c r="D28" s="37">
        <f t="shared" si="9"/>
        <v>0.5525649145</v>
      </c>
      <c r="N28" s="76" t="s">
        <v>126</v>
      </c>
      <c r="O28" s="34">
        <f>COUNTIF(Calculations_Preferred!$E$3:$E$214,N28)</f>
        <v>1</v>
      </c>
    </row>
    <row r="29">
      <c r="B29" s="39" t="s">
        <v>673</v>
      </c>
      <c r="C29" s="34">
        <f>SUM(Calculations_Preferred!D3:D7)/M2</f>
        <v>915.9</v>
      </c>
      <c r="D29" s="37">
        <f t="shared" si="9"/>
        <v>0.4833755541</v>
      </c>
      <c r="N29" s="34" t="s">
        <v>163</v>
      </c>
      <c r="O29" s="34">
        <f>COUNTIF(Calculations_Preferred!$E$3:$E$214,N29)</f>
        <v>1</v>
      </c>
    </row>
    <row r="30">
      <c r="B30" s="39" t="s">
        <v>675</v>
      </c>
      <c r="C30" s="78">
        <f>average(Calculations_Preferred!D3:D214/M2)</f>
        <v>10</v>
      </c>
      <c r="N30" s="34" t="s">
        <v>224</v>
      </c>
      <c r="O30" s="34">
        <f>COUNTIF(Calculations_Preferred!$E$3:$E$214,N30)</f>
        <v>1</v>
      </c>
    </row>
    <row r="31">
      <c r="B31" s="39" t="s">
        <v>676</v>
      </c>
      <c r="C31" s="79">
        <f>MEDIAN(Calculations_Preferred!D3:D214)/M2</f>
        <v>3.1</v>
      </c>
      <c r="N31" s="34" t="s">
        <v>229</v>
      </c>
      <c r="O31" s="34">
        <f>COUNTIF(Calculations_Preferred!$E$3:$E$214,N31)</f>
        <v>1</v>
      </c>
    </row>
    <row r="32">
      <c r="B32" s="39" t="s">
        <v>677</v>
      </c>
      <c r="C32" s="79">
        <f>MODE(Calculations_Preferred!D3:D214)/M2</f>
        <v>1.3</v>
      </c>
      <c r="N32" s="34" t="s">
        <v>271</v>
      </c>
      <c r="O32" s="34">
        <f>COUNTIF(Calculations_Preferred!$E$3:$E$214,N32)</f>
        <v>1</v>
      </c>
    </row>
    <row r="33">
      <c r="B33" s="39" t="s">
        <v>817</v>
      </c>
      <c r="C33" s="79">
        <f>stdev(Calculations_Preferred!D3:D214)/M2</f>
        <v>30.23351128</v>
      </c>
      <c r="N33" s="34" t="s">
        <v>303</v>
      </c>
      <c r="O33" s="34">
        <f>COUNTIF(Calculations_Preferred!$E$3:$E$214,N33)</f>
        <v>1</v>
      </c>
    </row>
    <row r="34">
      <c r="B34" s="39" t="s">
        <v>679</v>
      </c>
      <c r="C34" s="79">
        <f>max(Calculations_Preferred!D3:D214)/M2</f>
        <v>256.2</v>
      </c>
      <c r="N34" s="34" t="s">
        <v>339</v>
      </c>
      <c r="O34" s="34">
        <f>COUNTIF(Calculations_Preferred!$E$3:$E$214,N34)</f>
        <v>1</v>
      </c>
    </row>
    <row r="35">
      <c r="B35" s="39" t="s">
        <v>680</v>
      </c>
      <c r="C35" s="79">
        <f>MIN(Calculations_Preferred!D3:D214)/M2</f>
        <v>1</v>
      </c>
      <c r="N35" s="34" t="s">
        <v>391</v>
      </c>
      <c r="O35" s="34">
        <f>COUNTIF(Calculations_Preferred!$E$3:$E$214,N35)</f>
        <v>1</v>
      </c>
    </row>
    <row r="36">
      <c r="N36" s="34" t="s">
        <v>409</v>
      </c>
      <c r="O36" s="34">
        <f>COUNTIF(Calculations_Preferred!$E$3:$E$214,N36)</f>
        <v>1</v>
      </c>
    </row>
    <row r="37">
      <c r="B37" s="77" t="s">
        <v>818</v>
      </c>
      <c r="C37" s="22"/>
      <c r="N37" s="34" t="s">
        <v>412</v>
      </c>
      <c r="O37" s="34">
        <f>COUNTIF(Calculations_Preferred!$E$3:$E$214,N37)</f>
        <v>1</v>
      </c>
    </row>
    <row r="38">
      <c r="B38" s="39" t="s">
        <v>819</v>
      </c>
      <c r="C38" s="34">
        <f>SUM(Calculations_Preferred!D171:D213)/M2</f>
        <v>57.5</v>
      </c>
      <c r="N38" s="34" t="s">
        <v>423</v>
      </c>
      <c r="O38" s="34">
        <f>COUNTIF(Calculations_Preferred!$E$3:$E$214,N38)</f>
        <v>1</v>
      </c>
    </row>
    <row r="39">
      <c r="B39" s="39" t="s">
        <v>820</v>
      </c>
      <c r="C39" s="34">
        <f>SUM(Calculations_Preferred!D42:D168)/M2</f>
        <v>438.6</v>
      </c>
      <c r="N39" s="34" t="s">
        <v>427</v>
      </c>
      <c r="O39" s="34">
        <f>COUNTIF(Calculations_Preferred!$E$3:$E$214,N39)</f>
        <v>1</v>
      </c>
    </row>
    <row r="40">
      <c r="B40" s="68" t="s">
        <v>759</v>
      </c>
      <c r="C40" s="67">
        <f>SUM(C38:C39)</f>
        <v>496.1</v>
      </c>
      <c r="N40" s="34" t="s">
        <v>435</v>
      </c>
      <c r="O40" s="34">
        <f>COUNTIF(Calculations_Preferred!$E$3:$E$214,N40)</f>
        <v>1</v>
      </c>
    </row>
    <row r="41">
      <c r="N41" s="34" t="s">
        <v>509</v>
      </c>
      <c r="O41" s="34">
        <f>COUNTIF(Calculations_Preferred!$E$3:$E$214,N41)</f>
        <v>1</v>
      </c>
    </row>
    <row r="42">
      <c r="N42" s="34" t="s">
        <v>528</v>
      </c>
      <c r="O42" s="34">
        <f>COUNTIF(Calculations_Preferred!$E$3:$E$214,N42)</f>
        <v>1</v>
      </c>
    </row>
    <row r="43">
      <c r="N43" s="34" t="s">
        <v>538</v>
      </c>
      <c r="O43" s="34">
        <f>COUNTIF(Calculations_Preferred!$E$3:$E$214,N43)</f>
        <v>1</v>
      </c>
    </row>
    <row r="44">
      <c r="N44" s="34" t="s">
        <v>546</v>
      </c>
      <c r="O44" s="34">
        <f>COUNTIF(Calculations_Preferred!$E$3:$E$214,N44)</f>
        <v>1</v>
      </c>
    </row>
    <row r="45">
      <c r="N45" s="34" t="s">
        <v>565</v>
      </c>
      <c r="O45" s="34">
        <f>COUNTIF(Calculations_Preferred!$E$3:$E$214,N45)</f>
        <v>1</v>
      </c>
    </row>
    <row r="46">
      <c r="N46" s="34" t="s">
        <v>579</v>
      </c>
      <c r="O46" s="34">
        <f>COUNTIF(Calculations_Preferred!$E$3:$E$214,N46)</f>
        <v>1</v>
      </c>
    </row>
    <row r="47">
      <c r="N47" s="34" t="s">
        <v>586</v>
      </c>
      <c r="O47" s="34">
        <f>COUNTIF(Calculations_Preferred!$E$3:$E$214,N47)</f>
        <v>1</v>
      </c>
    </row>
    <row r="48">
      <c r="N48" s="34" t="s">
        <v>611</v>
      </c>
      <c r="O48" s="34">
        <f>COUNTIF(Calculations_Preferred!$E$3:$E$214,N48)</f>
        <v>1</v>
      </c>
    </row>
    <row r="49">
      <c r="N49" s="34" t="s">
        <v>626</v>
      </c>
      <c r="O49" s="34">
        <f>COUNTIF(Calculations_Preferred!$E$3:$E$214,N49)</f>
        <v>1</v>
      </c>
    </row>
    <row r="50">
      <c r="N50" s="68" t="s">
        <v>681</v>
      </c>
      <c r="O50" s="67">
        <f>SUM(O2:O49)</f>
        <v>212</v>
      </c>
    </row>
  </sheetData>
  <autoFilter ref="$N$1:$O$50">
    <sortState ref="N1:O50">
      <sortCondition descending="1" ref="O1:O50"/>
    </sortState>
  </autoFilter>
  <mergeCells count="10">
    <mergeCell ref="B21:D21"/>
    <mergeCell ref="B26:D26"/>
    <mergeCell ref="B37:C37"/>
    <mergeCell ref="B2:H2"/>
    <mergeCell ref="I2:K3"/>
    <mergeCell ref="C3:E3"/>
    <mergeCell ref="F3:H3"/>
    <mergeCell ref="C7:E7"/>
    <mergeCell ref="F7:H7"/>
    <mergeCell ref="B18:D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2.5"/>
    <col customWidth="1" min="3" max="3" width="12.0"/>
    <col customWidth="1" min="4" max="4" width="20.5"/>
    <col customWidth="1" min="5" max="6" width="15.25"/>
    <col customWidth="1" min="7" max="7" width="14.38"/>
    <col customWidth="1" min="8" max="8" width="39.5"/>
    <col customWidth="1" min="9" max="9" width="28.75"/>
    <col customWidth="1" min="10" max="10" width="26.0"/>
    <col customWidth="1" min="11" max="11" width="26.63"/>
    <col customWidth="1" min="12" max="12" width="26.0"/>
    <col customWidth="1" min="13" max="14" width="31.5"/>
    <col customWidth="1" min="15" max="15" width="32.5"/>
    <col customWidth="1" min="16" max="22" width="27.88"/>
    <col customWidth="1" min="23" max="23" width="26.0"/>
    <col customWidth="1" min="24" max="24" width="77.5"/>
    <col customWidth="1" min="25" max="25" width="112.25"/>
    <col customWidth="1" min="26" max="42" width="8.63"/>
  </cols>
  <sheetData>
    <row r="1" ht="14.25" customHeight="1">
      <c r="A1" s="1"/>
      <c r="B1" s="1"/>
      <c r="C1" s="1"/>
      <c r="D1" s="23"/>
      <c r="E1" s="1"/>
      <c r="F1" s="24"/>
      <c r="G1" s="24"/>
      <c r="H1" s="24"/>
      <c r="I1" s="24"/>
      <c r="J1" s="24"/>
      <c r="K1" s="24"/>
      <c r="L1" s="25"/>
      <c r="M1" s="26"/>
      <c r="N1" s="25"/>
      <c r="O1" s="27" t="s">
        <v>691</v>
      </c>
      <c r="P1" s="21"/>
      <c r="Q1" s="21"/>
      <c r="R1" s="28" t="s">
        <v>692</v>
      </c>
      <c r="S1" s="21"/>
      <c r="T1" s="21"/>
      <c r="U1" s="22"/>
      <c r="V1" s="24"/>
      <c r="W1" s="24"/>
      <c r="X1" s="24"/>
      <c r="Y1" s="24"/>
    </row>
    <row r="2" ht="14.25" customHeight="1">
      <c r="A2" s="1" t="s">
        <v>0</v>
      </c>
      <c r="B2" s="1" t="s">
        <v>1</v>
      </c>
      <c r="C2" s="24" t="s">
        <v>693</v>
      </c>
      <c r="D2" s="23" t="s">
        <v>3</v>
      </c>
      <c r="E2" s="1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694</v>
      </c>
      <c r="L2" s="24" t="s">
        <v>695</v>
      </c>
      <c r="M2" s="24" t="s">
        <v>696</v>
      </c>
      <c r="N2" s="24" t="s">
        <v>697</v>
      </c>
      <c r="O2" s="24" t="s">
        <v>698</v>
      </c>
      <c r="P2" s="24" t="s">
        <v>699</v>
      </c>
      <c r="Q2" s="24" t="s">
        <v>700</v>
      </c>
      <c r="R2" s="24" t="s">
        <v>701</v>
      </c>
      <c r="S2" s="24" t="s">
        <v>702</v>
      </c>
      <c r="T2" s="24" t="s">
        <v>703</v>
      </c>
      <c r="U2" s="24" t="s">
        <v>704</v>
      </c>
      <c r="V2" s="24" t="s">
        <v>10</v>
      </c>
      <c r="W2" s="24" t="s">
        <v>11</v>
      </c>
      <c r="X2" s="24" t="s">
        <v>12</v>
      </c>
      <c r="Y2" s="24" t="s">
        <v>13</v>
      </c>
    </row>
    <row r="3" ht="14.25" customHeight="1">
      <c r="A3" s="4">
        <v>1.0</v>
      </c>
      <c r="B3" s="2" t="s">
        <v>15</v>
      </c>
      <c r="C3" s="2" t="s">
        <v>16</v>
      </c>
      <c r="D3" s="3">
        <v>2.562E11</v>
      </c>
      <c r="E3" s="2" t="s">
        <v>17</v>
      </c>
      <c r="F3" s="4" t="str">
        <f>VLOOKUP(B3,Raw_Data_Collection!$B$2:$F$215,5,FALSE)</f>
        <v>Y</v>
      </c>
      <c r="G3" s="3">
        <f>VLOOKUP(B3,Raw_Data_Collection!$B$2:$J$215,6,FALSE)</f>
        <v>101500000</v>
      </c>
      <c r="H3" s="5" t="s">
        <v>19</v>
      </c>
      <c r="I3" s="4">
        <v>2024.0</v>
      </c>
      <c r="J3" s="2" t="str">
        <f>VLOOKUP(B3,Raw_Data_Collection!$B$2:$J$215,9,FALSE)</f>
        <v/>
      </c>
      <c r="K3" s="18">
        <f>VLOOKUP(B3,Real_Estate_Stats_Preferred!$A$2:$G$215,7,FALSE)</f>
        <v>101500000</v>
      </c>
      <c r="L3" s="18">
        <f t="shared" ref="L3:L214" si="1">D3-K3</f>
        <v>256098500000</v>
      </c>
      <c r="M3" s="4">
        <v>0.37</v>
      </c>
      <c r="N3" s="4">
        <v>0.05</v>
      </c>
      <c r="O3" s="29">
        <f t="shared" ref="O3:O214" si="2">L3*N3</f>
        <v>12804925000</v>
      </c>
      <c r="P3" s="29">
        <f t="shared" ref="P3:P214" si="3">O3/(1-M3)</f>
        <v>20325277778</v>
      </c>
      <c r="Q3" s="29">
        <f t="shared" ref="Q3:Q214" si="4">P3*M3</f>
        <v>7520352778</v>
      </c>
      <c r="R3" s="4">
        <v>0.075</v>
      </c>
      <c r="S3" s="29">
        <f t="shared" ref="S3:S214" si="5">L3*N3 + (L3*N3*R3*(4+3+2+1+0)/5)</f>
        <v>14725663750</v>
      </c>
      <c r="T3" s="29">
        <f t="shared" ref="T3:T214" si="6">S3/(1-M3)</f>
        <v>23374069444</v>
      </c>
      <c r="U3" s="29">
        <f t="shared" ref="U3:U214" si="7">T3*M3</f>
        <v>8648405694</v>
      </c>
      <c r="X3" s="4" t="s">
        <v>20</v>
      </c>
      <c r="Y3" s="6" t="s">
        <v>21</v>
      </c>
    </row>
    <row r="4" ht="14.25" customHeight="1">
      <c r="A4" s="4">
        <v>2.0</v>
      </c>
      <c r="B4" s="2" t="s">
        <v>28</v>
      </c>
      <c r="C4" s="2" t="s">
        <v>29</v>
      </c>
      <c r="D4" s="3">
        <v>2.364E11</v>
      </c>
      <c r="E4" s="2" t="s">
        <v>30</v>
      </c>
      <c r="F4" s="4" t="str">
        <f>VLOOKUP(B4,Raw_Data_Collection!$B$2:$F$215,5,FALSE)</f>
        <v>Y</v>
      </c>
      <c r="G4" s="3">
        <f>VLOOKUP(B4,Raw_Data_Collection!$B$2:$J$215,6,FALSE)</f>
        <v>35000000</v>
      </c>
      <c r="I4" s="4">
        <v>2025.0</v>
      </c>
      <c r="J4" s="2" t="str">
        <f>VLOOKUP(B4,Raw_Data_Collection!$B$2:$J$215,9,FALSE)</f>
        <v/>
      </c>
      <c r="K4" s="18">
        <f>VLOOKUP(B4,Real_Estate_Stats_Preferred!$A$2:$G$215,7,FALSE)</f>
        <v>35000000</v>
      </c>
      <c r="L4" s="18">
        <f t="shared" si="1"/>
        <v>236365000000</v>
      </c>
      <c r="M4" s="4">
        <v>0.37</v>
      </c>
      <c r="N4" s="4">
        <v>0.05</v>
      </c>
      <c r="O4" s="29">
        <f t="shared" si="2"/>
        <v>11818250000</v>
      </c>
      <c r="P4" s="29">
        <f t="shared" si="3"/>
        <v>18759126984</v>
      </c>
      <c r="Q4" s="29">
        <f t="shared" si="4"/>
        <v>6940876984</v>
      </c>
      <c r="R4" s="4">
        <v>0.075</v>
      </c>
      <c r="S4" s="29">
        <f t="shared" si="5"/>
        <v>13590987500</v>
      </c>
      <c r="T4" s="29">
        <f t="shared" si="6"/>
        <v>21572996032</v>
      </c>
      <c r="U4" s="29">
        <f t="shared" si="7"/>
        <v>7982008532</v>
      </c>
      <c r="V4" s="4"/>
      <c r="W4" s="4"/>
      <c r="Y4" s="5" t="s">
        <v>31</v>
      </c>
    </row>
    <row r="5" ht="14.25" customHeight="1">
      <c r="A5" s="4">
        <v>3.0</v>
      </c>
      <c r="B5" s="2" t="s">
        <v>32</v>
      </c>
      <c r="C5" s="2" t="s">
        <v>33</v>
      </c>
      <c r="D5" s="3">
        <v>2.251E11</v>
      </c>
      <c r="E5" s="2" t="s">
        <v>17</v>
      </c>
      <c r="F5" s="4" t="s">
        <v>18</v>
      </c>
      <c r="G5" s="3">
        <f>VLOOKUP(B5,Raw_Data_Collection!$B$2:$J$215,6,FALSE)</f>
        <v>112000000</v>
      </c>
      <c r="H5" s="5" t="s">
        <v>35</v>
      </c>
      <c r="I5" s="4">
        <v>2025.0</v>
      </c>
      <c r="J5" s="18">
        <f>VLOOKUP(B5,Raw_Data_Collection!$B$2:$J$215,9,FALSE)</f>
        <v>300000000</v>
      </c>
      <c r="K5" s="18">
        <f>VLOOKUP(B5,Real_Estate_Stats_Preferred!$A$2:$G$215,7,FALSE)</f>
        <v>300000000</v>
      </c>
      <c r="L5" s="18">
        <f t="shared" si="1"/>
        <v>224800000000</v>
      </c>
      <c r="M5" s="4">
        <v>0.37</v>
      </c>
      <c r="N5" s="4">
        <v>0.05</v>
      </c>
      <c r="O5" s="29">
        <f t="shared" si="2"/>
        <v>11240000000</v>
      </c>
      <c r="P5" s="29">
        <f t="shared" si="3"/>
        <v>17841269841</v>
      </c>
      <c r="Q5" s="29">
        <f t="shared" si="4"/>
        <v>6601269841</v>
      </c>
      <c r="R5" s="4">
        <v>0.075</v>
      </c>
      <c r="S5" s="29">
        <f t="shared" si="5"/>
        <v>12926000000</v>
      </c>
      <c r="T5" s="29">
        <f t="shared" si="6"/>
        <v>20517460317</v>
      </c>
      <c r="U5" s="29">
        <f t="shared" si="7"/>
        <v>7591460317</v>
      </c>
      <c r="V5" s="4" t="s">
        <v>36</v>
      </c>
      <c r="W5" s="6" t="s">
        <v>37</v>
      </c>
      <c r="X5" s="4" t="s">
        <v>38</v>
      </c>
    </row>
    <row r="6" ht="14.25" customHeight="1">
      <c r="A6" s="4">
        <v>4.0</v>
      </c>
      <c r="B6" s="2" t="s">
        <v>39</v>
      </c>
      <c r="C6" s="2" t="s">
        <v>40</v>
      </c>
      <c r="D6" s="3">
        <v>1.626E11</v>
      </c>
      <c r="E6" s="2" t="s">
        <v>30</v>
      </c>
      <c r="F6" s="4" t="str">
        <f>VLOOKUP(B6,Raw_Data_Collection!$B$2:$F$215,5,FALSE)</f>
        <v>N</v>
      </c>
      <c r="G6" s="3">
        <f>VLOOKUP(B6,Raw_Data_Collection!$B$2:$J$215,6,FALSE)</f>
        <v>6900000</v>
      </c>
      <c r="H6" s="5" t="s">
        <v>41</v>
      </c>
      <c r="I6" s="4">
        <v>2025.0</v>
      </c>
      <c r="J6" s="18">
        <f>VLOOKUP(B6,Raw_Data_Collection!$B$2:$J$215,9,FALSE)</f>
        <v>52400000</v>
      </c>
      <c r="K6" s="18">
        <f>VLOOKUP(B6,Real_Estate_Stats_Preferred!$A$2:$G$215,7,FALSE)</f>
        <v>52400000</v>
      </c>
      <c r="L6" s="18">
        <f t="shared" si="1"/>
        <v>162547600000</v>
      </c>
      <c r="M6" s="4">
        <v>0.37</v>
      </c>
      <c r="N6" s="4">
        <v>0.05</v>
      </c>
      <c r="O6" s="29">
        <f t="shared" si="2"/>
        <v>8127380000</v>
      </c>
      <c r="P6" s="29">
        <f t="shared" si="3"/>
        <v>12900603175</v>
      </c>
      <c r="Q6" s="29">
        <f t="shared" si="4"/>
        <v>4773223175</v>
      </c>
      <c r="R6" s="4">
        <v>0.075</v>
      </c>
      <c r="S6" s="29">
        <f t="shared" si="5"/>
        <v>9346487000</v>
      </c>
      <c r="T6" s="29">
        <f t="shared" si="6"/>
        <v>14835693651</v>
      </c>
      <c r="U6" s="29">
        <f t="shared" si="7"/>
        <v>5489206651</v>
      </c>
      <c r="V6" s="4">
        <v>2004.0</v>
      </c>
      <c r="W6" s="6" t="s">
        <v>42</v>
      </c>
      <c r="X6" s="4" t="s">
        <v>43</v>
      </c>
      <c r="Y6" s="5" t="s">
        <v>44</v>
      </c>
    </row>
    <row r="7" ht="14.25" customHeight="1">
      <c r="A7" s="4">
        <v>5.0</v>
      </c>
      <c r="B7" s="2" t="s">
        <v>45</v>
      </c>
      <c r="C7" s="2" t="s">
        <v>46</v>
      </c>
      <c r="D7" s="3">
        <v>3.56E10</v>
      </c>
      <c r="E7" s="4" t="s">
        <v>47</v>
      </c>
      <c r="F7" s="4" t="str">
        <f>VLOOKUP(B7,Raw_Data_Collection!$B$2:$F$215,5,FALSE)</f>
        <v>N</v>
      </c>
      <c r="G7" s="3">
        <f>VLOOKUP(B7,Raw_Data_Collection!$B$2:$J$215,6,FALSE)</f>
        <v>110000000</v>
      </c>
      <c r="I7" s="4">
        <v>2025.0</v>
      </c>
      <c r="J7" s="18">
        <f>VLOOKUP(B7,Raw_Data_Collection!$B$2:$J$215,9,FALSE)</f>
        <v>600000000</v>
      </c>
      <c r="K7" s="18">
        <f>VLOOKUP(B7,Real_Estate_Stats_Preferred!$A$2:$G$215,7,FALSE)</f>
        <v>600000000</v>
      </c>
      <c r="L7" s="18">
        <f t="shared" si="1"/>
        <v>35000000000</v>
      </c>
      <c r="M7" s="4">
        <v>0.37</v>
      </c>
      <c r="N7" s="4">
        <v>0.05</v>
      </c>
      <c r="O7" s="29">
        <f t="shared" si="2"/>
        <v>1750000000</v>
      </c>
      <c r="P7" s="29">
        <f t="shared" si="3"/>
        <v>2777777778</v>
      </c>
      <c r="Q7" s="29">
        <f t="shared" si="4"/>
        <v>1027777778</v>
      </c>
      <c r="R7" s="4">
        <v>0.075</v>
      </c>
      <c r="S7" s="29">
        <f t="shared" si="5"/>
        <v>2012500000</v>
      </c>
      <c r="T7" s="29">
        <f t="shared" si="6"/>
        <v>3194444444</v>
      </c>
      <c r="U7" s="29">
        <f t="shared" si="7"/>
        <v>1181944444</v>
      </c>
      <c r="V7" s="4">
        <v>2025.0</v>
      </c>
      <c r="W7" s="6" t="s">
        <v>48</v>
      </c>
      <c r="X7" s="4" t="s">
        <v>49</v>
      </c>
    </row>
    <row r="8" ht="14.25" customHeight="1">
      <c r="A8" s="4">
        <v>6.0</v>
      </c>
      <c r="B8" s="2" t="s">
        <v>50</v>
      </c>
      <c r="C8" s="2" t="s">
        <v>51</v>
      </c>
      <c r="D8" s="3">
        <v>3.2E10</v>
      </c>
      <c r="E8" s="2" t="s">
        <v>52</v>
      </c>
      <c r="F8" s="4" t="str">
        <f>VLOOKUP(B8,Raw_Data_Collection!$B$2:$F$215,5,FALSE)</f>
        <v>N</v>
      </c>
      <c r="G8" s="3">
        <f>VLOOKUP(B8,Raw_Data_Collection!$B$2:$J$215,6,FALSE)</f>
        <v>20150000</v>
      </c>
      <c r="H8" s="5" t="s">
        <v>53</v>
      </c>
      <c r="I8" s="4">
        <v>2024.0</v>
      </c>
      <c r="J8" s="18">
        <f>VLOOKUP(B8,Raw_Data_Collection!$B$2:$J$215,9,FALSE)</f>
        <v>20150000</v>
      </c>
      <c r="K8" s="18">
        <f>VLOOKUP(B8,Real_Estate_Stats_Preferred!$A$2:$G$215,7,FALSE)</f>
        <v>20150000</v>
      </c>
      <c r="L8" s="18">
        <f t="shared" si="1"/>
        <v>31979850000</v>
      </c>
      <c r="M8" s="4">
        <v>0.37</v>
      </c>
      <c r="N8" s="4">
        <v>0.05</v>
      </c>
      <c r="O8" s="29">
        <f t="shared" si="2"/>
        <v>1598992500</v>
      </c>
      <c r="P8" s="29">
        <f t="shared" si="3"/>
        <v>2538083333</v>
      </c>
      <c r="Q8" s="29">
        <f t="shared" si="4"/>
        <v>939090833.3</v>
      </c>
      <c r="R8" s="4">
        <v>0.075</v>
      </c>
      <c r="S8" s="29">
        <f t="shared" si="5"/>
        <v>1838841375</v>
      </c>
      <c r="T8" s="29">
        <f t="shared" si="6"/>
        <v>2918795833</v>
      </c>
      <c r="U8" s="29">
        <f t="shared" si="7"/>
        <v>1079954458</v>
      </c>
      <c r="V8" s="4">
        <v>2024.0</v>
      </c>
      <c r="W8" s="5" t="s">
        <v>53</v>
      </c>
      <c r="X8" s="4" t="s">
        <v>54</v>
      </c>
    </row>
    <row r="9" ht="14.25" customHeight="1">
      <c r="A9" s="4">
        <v>7.0</v>
      </c>
      <c r="B9" s="2" t="s">
        <v>55</v>
      </c>
      <c r="C9" s="2" t="s">
        <v>56</v>
      </c>
      <c r="D9" s="3">
        <v>2.67E10</v>
      </c>
      <c r="E9" s="2" t="s">
        <v>47</v>
      </c>
      <c r="F9" s="4" t="str">
        <f>VLOOKUP(B9,Raw_Data_Collection!$B$2:$F$215,5,FALSE)</f>
        <v>Y</v>
      </c>
      <c r="G9" s="3">
        <f>VLOOKUP(B9,Raw_Data_Collection!$B$2:$J$215,6,FALSE)</f>
        <v>11500000</v>
      </c>
      <c r="H9" s="5" t="s">
        <v>57</v>
      </c>
      <c r="I9" s="4">
        <v>2018.0</v>
      </c>
      <c r="J9" s="18">
        <f>VLOOKUP(B9,Raw_Data_Collection!$B$2:$J$215,9,FALSE)</f>
        <v>77200000</v>
      </c>
      <c r="K9" s="18">
        <f>VLOOKUP(B9,Real_Estate_Stats_Preferred!$A$2:$G$215,7,FALSE)</f>
        <v>77200000</v>
      </c>
      <c r="L9" s="18">
        <f t="shared" si="1"/>
        <v>26622800000</v>
      </c>
      <c r="M9" s="4">
        <v>0.37</v>
      </c>
      <c r="N9" s="4">
        <v>0.05</v>
      </c>
      <c r="O9" s="29">
        <f t="shared" si="2"/>
        <v>1331140000</v>
      </c>
      <c r="P9" s="29">
        <f t="shared" si="3"/>
        <v>2112920635</v>
      </c>
      <c r="Q9" s="29">
        <f t="shared" si="4"/>
        <v>781780634.9</v>
      </c>
      <c r="R9" s="4">
        <v>0.075</v>
      </c>
      <c r="S9" s="29">
        <f t="shared" si="5"/>
        <v>1530811000</v>
      </c>
      <c r="T9" s="29">
        <f t="shared" si="6"/>
        <v>2429858730</v>
      </c>
      <c r="U9" s="29">
        <f t="shared" si="7"/>
        <v>899047730.2</v>
      </c>
      <c r="V9" s="4" t="s">
        <v>58</v>
      </c>
      <c r="W9" s="4" t="s">
        <v>59</v>
      </c>
      <c r="Y9" s="5" t="s">
        <v>60</v>
      </c>
    </row>
    <row r="10" ht="14.25" customHeight="1">
      <c r="A10" s="4">
        <v>8.0</v>
      </c>
      <c r="B10" s="2" t="s">
        <v>61</v>
      </c>
      <c r="C10" s="2" t="s">
        <v>62</v>
      </c>
      <c r="D10" s="3">
        <v>2.55E10</v>
      </c>
      <c r="E10" s="2" t="s">
        <v>63</v>
      </c>
      <c r="F10" s="4" t="str">
        <f>VLOOKUP(B10,Raw_Data_Collection!$B$2:$F$215,5,FALSE)</f>
        <v>N</v>
      </c>
      <c r="G10" s="3">
        <f>VLOOKUP(B10,Raw_Data_Collection!$B$2:$J$215,6,FALSE)</f>
        <v>21550000</v>
      </c>
      <c r="H10" s="5" t="s">
        <v>64</v>
      </c>
      <c r="I10" s="4">
        <v>2024.0</v>
      </c>
      <c r="J10" s="2" t="str">
        <f>VLOOKUP(B10,Raw_Data_Collection!$B$2:$J$215,9,FALSE)</f>
        <v/>
      </c>
      <c r="K10" s="18">
        <f>VLOOKUP(B10,Real_Estate_Stats_Preferred!$A$2:$G$215,7,FALSE)</f>
        <v>21550000</v>
      </c>
      <c r="L10" s="18">
        <f t="shared" si="1"/>
        <v>25478450000</v>
      </c>
      <c r="M10" s="4">
        <v>0.37</v>
      </c>
      <c r="N10" s="4">
        <v>0.05</v>
      </c>
      <c r="O10" s="29">
        <f t="shared" si="2"/>
        <v>1273922500</v>
      </c>
      <c r="P10" s="29">
        <f t="shared" si="3"/>
        <v>2022099206</v>
      </c>
      <c r="Q10" s="29">
        <f t="shared" si="4"/>
        <v>748176706.3</v>
      </c>
      <c r="R10" s="4">
        <v>0.075</v>
      </c>
      <c r="S10" s="29">
        <f t="shared" si="5"/>
        <v>1465010875</v>
      </c>
      <c r="T10" s="29">
        <f t="shared" si="6"/>
        <v>2325414087</v>
      </c>
      <c r="U10" s="29">
        <f t="shared" si="7"/>
        <v>860403212.3</v>
      </c>
      <c r="X10" s="4" t="s">
        <v>65</v>
      </c>
    </row>
    <row r="11" ht="14.25" customHeight="1">
      <c r="A11" s="4">
        <v>9.0</v>
      </c>
      <c r="B11" s="2" t="s">
        <v>66</v>
      </c>
      <c r="C11" s="2" t="s">
        <v>67</v>
      </c>
      <c r="D11" s="3">
        <v>2.5E10</v>
      </c>
      <c r="E11" s="2" t="s">
        <v>68</v>
      </c>
      <c r="F11" s="4" t="str">
        <f>VLOOKUP(B11,Raw_Data_Collection!$B$2:$F$215,5,FALSE)</f>
        <v>N</v>
      </c>
      <c r="G11" s="3" t="str">
        <f>VLOOKUP(B11,Raw_Data_Collection!$B$2:$J$215,6,FALSE)</f>
        <v/>
      </c>
      <c r="J11" s="2" t="str">
        <f>VLOOKUP(B11,Raw_Data_Collection!$B$2:$J$215,9,FALSE)</f>
        <v/>
      </c>
      <c r="K11" s="18">
        <f>VLOOKUP(B11,Real_Estate_Stats_Preferred!$A$2:$G$215,7,FALSE)</f>
        <v>159008928.6</v>
      </c>
      <c r="L11" s="18">
        <f t="shared" si="1"/>
        <v>24840991071</v>
      </c>
      <c r="M11" s="4">
        <v>0.37</v>
      </c>
      <c r="N11" s="4">
        <v>0.05</v>
      </c>
      <c r="O11" s="29">
        <f t="shared" si="2"/>
        <v>1242049554</v>
      </c>
      <c r="P11" s="29">
        <f t="shared" si="3"/>
        <v>1971507228</v>
      </c>
      <c r="Q11" s="29">
        <f t="shared" si="4"/>
        <v>729457674.3</v>
      </c>
      <c r="R11" s="4">
        <v>0.075</v>
      </c>
      <c r="S11" s="29">
        <f t="shared" si="5"/>
        <v>1428356987</v>
      </c>
      <c r="T11" s="29">
        <f t="shared" si="6"/>
        <v>2267233312</v>
      </c>
      <c r="U11" s="29">
        <f t="shared" si="7"/>
        <v>838876325.5</v>
      </c>
    </row>
    <row r="12" ht="14.25" customHeight="1">
      <c r="A12" s="4">
        <v>10.0</v>
      </c>
      <c r="B12" s="2" t="s">
        <v>70</v>
      </c>
      <c r="C12" s="2" t="s">
        <v>71</v>
      </c>
      <c r="D12" s="3">
        <v>2.19E10</v>
      </c>
      <c r="E12" s="2" t="s">
        <v>72</v>
      </c>
      <c r="F12" s="4" t="str">
        <f>VLOOKUP(B12,Raw_Data_Collection!$B$2:$F$215,5,FALSE)</f>
        <v>N</v>
      </c>
      <c r="G12" s="3">
        <f>VLOOKUP(B12,Raw_Data_Collection!$B$2:$J$215,6,FALSE)</f>
        <v>19777777</v>
      </c>
      <c r="H12" s="5" t="s">
        <v>73</v>
      </c>
      <c r="I12" s="4">
        <v>2010.0</v>
      </c>
      <c r="J12" s="18">
        <f>VLOOKUP(B12,Raw_Data_Collection!$B$2:$J$215,9,FALSE)</f>
        <v>19777777</v>
      </c>
      <c r="K12" s="18">
        <f>VLOOKUP(B12,Real_Estate_Stats_Preferred!$A$2:$G$215,7,FALSE)</f>
        <v>19777777</v>
      </c>
      <c r="L12" s="18">
        <f t="shared" si="1"/>
        <v>21880222223</v>
      </c>
      <c r="M12" s="4">
        <v>0.37</v>
      </c>
      <c r="N12" s="4">
        <v>0.05</v>
      </c>
      <c r="O12" s="29">
        <f t="shared" si="2"/>
        <v>1094011111</v>
      </c>
      <c r="P12" s="29">
        <f t="shared" si="3"/>
        <v>1736525573</v>
      </c>
      <c r="Q12" s="29">
        <f t="shared" si="4"/>
        <v>642514462.1</v>
      </c>
      <c r="R12" s="4">
        <v>0.075</v>
      </c>
      <c r="S12" s="29">
        <f t="shared" si="5"/>
        <v>1258112778</v>
      </c>
      <c r="T12" s="29">
        <f t="shared" si="6"/>
        <v>1997004409</v>
      </c>
      <c r="U12" s="29">
        <f t="shared" si="7"/>
        <v>738891631.4</v>
      </c>
      <c r="V12" s="4">
        <v>2010.0</v>
      </c>
      <c r="W12" s="5" t="s">
        <v>73</v>
      </c>
    </row>
    <row r="13" ht="14.25" customHeight="1">
      <c r="A13" s="4">
        <v>11.0</v>
      </c>
      <c r="B13" s="2" t="s">
        <v>74</v>
      </c>
      <c r="C13" s="2" t="s">
        <v>75</v>
      </c>
      <c r="D13" s="3">
        <v>2.0E10</v>
      </c>
      <c r="E13" s="2" t="s">
        <v>24</v>
      </c>
      <c r="F13" s="4" t="str">
        <f>VLOOKUP(B13,Raw_Data_Collection!$B$2:$F$215,5,FALSE)</f>
        <v>N</v>
      </c>
      <c r="G13" s="3" t="str">
        <f>VLOOKUP(B13,Raw_Data_Collection!$B$2:$J$215,6,FALSE)</f>
        <v/>
      </c>
      <c r="J13" s="2" t="str">
        <f>VLOOKUP(B13,Raw_Data_Collection!$B$2:$J$215,9,FALSE)</f>
        <v/>
      </c>
      <c r="K13" s="18">
        <f>VLOOKUP(B13,Real_Estate_Stats_Preferred!$A$2:$G$215,7,FALSE)</f>
        <v>127207142.9</v>
      </c>
      <c r="L13" s="18">
        <f t="shared" si="1"/>
        <v>19872792857</v>
      </c>
      <c r="M13" s="4">
        <v>0.37</v>
      </c>
      <c r="N13" s="4">
        <v>0.05</v>
      </c>
      <c r="O13" s="29">
        <f t="shared" si="2"/>
        <v>993639642.9</v>
      </c>
      <c r="P13" s="29">
        <f t="shared" si="3"/>
        <v>1577205782</v>
      </c>
      <c r="Q13" s="29">
        <f t="shared" si="4"/>
        <v>583566139.5</v>
      </c>
      <c r="R13" s="4">
        <v>0.075</v>
      </c>
      <c r="S13" s="29">
        <f t="shared" si="5"/>
        <v>1142685589</v>
      </c>
      <c r="T13" s="29">
        <f t="shared" si="6"/>
        <v>1813786650</v>
      </c>
      <c r="U13" s="29">
        <f t="shared" si="7"/>
        <v>671101060.4</v>
      </c>
    </row>
    <row r="14" ht="14.25" customHeight="1">
      <c r="A14" s="4">
        <v>12.0</v>
      </c>
      <c r="B14" s="2" t="s">
        <v>76</v>
      </c>
      <c r="C14" s="2" t="s">
        <v>77</v>
      </c>
      <c r="D14" s="3">
        <v>1.92E10</v>
      </c>
      <c r="E14" s="2" t="s">
        <v>52</v>
      </c>
      <c r="F14" s="4" t="str">
        <f>VLOOKUP(B14,Raw_Data_Collection!$B$2:$F$215,5,FALSE)</f>
        <v>N</v>
      </c>
      <c r="G14" s="3" t="str">
        <f>VLOOKUP(B14,Raw_Data_Collection!$B$2:$J$215,6,FALSE)</f>
        <v/>
      </c>
      <c r="I14" s="4"/>
      <c r="J14" s="2" t="str">
        <f>VLOOKUP(B14,Raw_Data_Collection!$B$2:$J$215,9,FALSE)</f>
        <v/>
      </c>
      <c r="K14" s="18">
        <f>VLOOKUP(B14,Real_Estate_Stats_Preferred!$A$2:$G$215,7,FALSE)</f>
        <v>122118857.1</v>
      </c>
      <c r="L14" s="18">
        <f t="shared" si="1"/>
        <v>19077881143</v>
      </c>
      <c r="M14" s="4">
        <v>0.37</v>
      </c>
      <c r="N14" s="4">
        <v>0.05</v>
      </c>
      <c r="O14" s="29">
        <f t="shared" si="2"/>
        <v>953894057.1</v>
      </c>
      <c r="P14" s="29">
        <f t="shared" si="3"/>
        <v>1514117551</v>
      </c>
      <c r="Q14" s="29">
        <f t="shared" si="4"/>
        <v>560223493.9</v>
      </c>
      <c r="R14" s="4">
        <v>0.075</v>
      </c>
      <c r="S14" s="29">
        <f t="shared" si="5"/>
        <v>1096978166</v>
      </c>
      <c r="T14" s="29">
        <f t="shared" si="6"/>
        <v>1741235184</v>
      </c>
      <c r="U14" s="29">
        <f t="shared" si="7"/>
        <v>644257018</v>
      </c>
      <c r="V14" s="4"/>
      <c r="W14" s="4"/>
    </row>
    <row r="15" ht="14.25" customHeight="1">
      <c r="A15" s="4">
        <v>13.0</v>
      </c>
      <c r="B15" s="2" t="s">
        <v>78</v>
      </c>
      <c r="C15" s="2" t="s">
        <v>79</v>
      </c>
      <c r="D15" s="3">
        <v>1.79E10</v>
      </c>
      <c r="E15" s="2" t="s">
        <v>80</v>
      </c>
      <c r="F15" s="4" t="str">
        <f>VLOOKUP(B15,Raw_Data_Collection!$B$2:$F$215,5,FALSE)</f>
        <v>N</v>
      </c>
      <c r="G15" s="3">
        <f>VLOOKUP(B15,Raw_Data_Collection!$B$2:$J$215,6,FALSE)</f>
        <v>54000000</v>
      </c>
      <c r="H15" s="5" t="s">
        <v>81</v>
      </c>
      <c r="I15" s="4">
        <v>2023.0</v>
      </c>
      <c r="J15" s="2" t="str">
        <f>VLOOKUP(B15,Raw_Data_Collection!$B$2:$J$215,9,FALSE)</f>
        <v/>
      </c>
      <c r="K15" s="18">
        <f>VLOOKUP(B15,Real_Estate_Stats_Preferred!$A$2:$G$215,7,FALSE)</f>
        <v>54000000</v>
      </c>
      <c r="L15" s="18">
        <f t="shared" si="1"/>
        <v>17846000000</v>
      </c>
      <c r="M15" s="4">
        <v>0.37</v>
      </c>
      <c r="N15" s="4">
        <v>0.05</v>
      </c>
      <c r="O15" s="29">
        <f t="shared" si="2"/>
        <v>892300000</v>
      </c>
      <c r="P15" s="29">
        <f t="shared" si="3"/>
        <v>1416349206</v>
      </c>
      <c r="Q15" s="29">
        <f t="shared" si="4"/>
        <v>524049206.3</v>
      </c>
      <c r="R15" s="4">
        <v>0.075</v>
      </c>
      <c r="S15" s="29">
        <f t="shared" si="5"/>
        <v>1026145000</v>
      </c>
      <c r="T15" s="29">
        <f t="shared" si="6"/>
        <v>1628801587</v>
      </c>
      <c r="U15" s="29">
        <f t="shared" si="7"/>
        <v>602656587.3</v>
      </c>
      <c r="V15" s="4"/>
      <c r="W15" s="4"/>
    </row>
    <row r="16" ht="14.25" customHeight="1">
      <c r="A16" s="4">
        <v>14.0</v>
      </c>
      <c r="B16" s="2" t="s">
        <v>82</v>
      </c>
      <c r="C16" s="2" t="s">
        <v>83</v>
      </c>
      <c r="D16" s="3">
        <v>1.75E10</v>
      </c>
      <c r="E16" s="2" t="s">
        <v>84</v>
      </c>
      <c r="F16" s="4" t="str">
        <f>VLOOKUP(B16,Raw_Data_Collection!$B$2:$F$215,5,FALSE)</f>
        <v>N</v>
      </c>
      <c r="G16" s="3">
        <f>VLOOKUP(B16,Raw_Data_Collection!$B$2:$J$215,6,FALSE)</f>
        <v>7250000</v>
      </c>
      <c r="H16" s="5" t="s">
        <v>85</v>
      </c>
      <c r="I16" s="4">
        <v>2011.0</v>
      </c>
      <c r="J16" s="2" t="str">
        <f>VLOOKUP(B16,Raw_Data_Collection!$B$2:$J$215,9,FALSE)</f>
        <v/>
      </c>
      <c r="K16" s="18">
        <f>VLOOKUP(B16,Real_Estate_Stats_Preferred!$A$2:$G$215,7,FALSE)</f>
        <v>7250000</v>
      </c>
      <c r="L16" s="18">
        <f t="shared" si="1"/>
        <v>17492750000</v>
      </c>
      <c r="M16" s="4">
        <v>0.37</v>
      </c>
      <c r="N16" s="4">
        <v>0.05</v>
      </c>
      <c r="O16" s="29">
        <f t="shared" si="2"/>
        <v>874637500</v>
      </c>
      <c r="P16" s="29">
        <f t="shared" si="3"/>
        <v>1388313492</v>
      </c>
      <c r="Q16" s="29">
        <f t="shared" si="4"/>
        <v>513675992.1</v>
      </c>
      <c r="R16" s="4">
        <v>0.075</v>
      </c>
      <c r="S16" s="29">
        <f t="shared" si="5"/>
        <v>1005833125</v>
      </c>
      <c r="T16" s="29">
        <f t="shared" si="6"/>
        <v>1596560516</v>
      </c>
      <c r="U16" s="29">
        <f t="shared" si="7"/>
        <v>590727390.9</v>
      </c>
      <c r="V16" s="4"/>
      <c r="W16" s="4"/>
    </row>
    <row r="17" ht="14.25" customHeight="1">
      <c r="A17" s="4">
        <v>15.0</v>
      </c>
      <c r="B17" s="2" t="s">
        <v>86</v>
      </c>
      <c r="C17" s="2" t="s">
        <v>83</v>
      </c>
      <c r="D17" s="3">
        <v>1.75E10</v>
      </c>
      <c r="E17" s="2" t="s">
        <v>87</v>
      </c>
      <c r="F17" s="4" t="str">
        <f>VLOOKUP(B17,Raw_Data_Collection!$B$2:$F$215,5,FALSE)</f>
        <v>N</v>
      </c>
      <c r="G17" s="3" t="str">
        <f>VLOOKUP(B17,Raw_Data_Collection!$B$2:$J$215,6,FALSE)</f>
        <v/>
      </c>
      <c r="J17" s="2" t="str">
        <f>VLOOKUP(B17,Raw_Data_Collection!$B$2:$J$215,9,FALSE)</f>
        <v/>
      </c>
      <c r="K17" s="18">
        <f>VLOOKUP(B17,Real_Estate_Stats_Preferred!$A$2:$G$215,7,FALSE)</f>
        <v>111306250</v>
      </c>
      <c r="L17" s="18">
        <f t="shared" si="1"/>
        <v>17388693750</v>
      </c>
      <c r="M17" s="4">
        <v>0.37</v>
      </c>
      <c r="N17" s="4">
        <v>0.05</v>
      </c>
      <c r="O17" s="29">
        <f t="shared" si="2"/>
        <v>869434687.5</v>
      </c>
      <c r="P17" s="29">
        <f t="shared" si="3"/>
        <v>1380055060</v>
      </c>
      <c r="Q17" s="29">
        <f t="shared" si="4"/>
        <v>510620372</v>
      </c>
      <c r="R17" s="4">
        <v>0.075</v>
      </c>
      <c r="S17" s="29">
        <f t="shared" si="5"/>
        <v>999849890.6</v>
      </c>
      <c r="T17" s="29">
        <f t="shared" si="6"/>
        <v>1587063318</v>
      </c>
      <c r="U17" s="29">
        <f t="shared" si="7"/>
        <v>587213427.8</v>
      </c>
    </row>
    <row r="18" ht="14.25" customHeight="1">
      <c r="A18" s="4">
        <v>16.0</v>
      </c>
      <c r="B18" s="2" t="s">
        <v>88</v>
      </c>
      <c r="C18" s="2" t="s">
        <v>89</v>
      </c>
      <c r="D18" s="3">
        <v>1.71E10</v>
      </c>
      <c r="E18" s="2" t="s">
        <v>90</v>
      </c>
      <c r="F18" s="4" t="str">
        <f>VLOOKUP(B18,Raw_Data_Collection!$B$2:$F$215,5,FALSE)</f>
        <v>Y</v>
      </c>
      <c r="G18" s="3">
        <f>VLOOKUP(B18,Raw_Data_Collection!$B$2:$J$215,6,FALSE)</f>
        <v>187000000</v>
      </c>
      <c r="H18" s="5" t="s">
        <v>91</v>
      </c>
      <c r="I18" s="4">
        <v>2021.0</v>
      </c>
      <c r="J18" s="18">
        <f>VLOOKUP(B18,Raw_Data_Collection!$B$2:$J$215,9,FALSE)</f>
        <v>400000000</v>
      </c>
      <c r="K18" s="18">
        <f>VLOOKUP(B18,Real_Estate_Stats_Preferred!$A$2:$G$215,7,FALSE)</f>
        <v>400000000</v>
      </c>
      <c r="L18" s="18">
        <f t="shared" si="1"/>
        <v>16700000000</v>
      </c>
      <c r="M18" s="4">
        <v>0.37</v>
      </c>
      <c r="N18" s="4">
        <v>0.05</v>
      </c>
      <c r="O18" s="29">
        <f t="shared" si="2"/>
        <v>835000000</v>
      </c>
      <c r="P18" s="29">
        <f t="shared" si="3"/>
        <v>1325396825</v>
      </c>
      <c r="Q18" s="29">
        <f t="shared" si="4"/>
        <v>490396825.4</v>
      </c>
      <c r="R18" s="4">
        <v>0.075</v>
      </c>
      <c r="S18" s="29">
        <f t="shared" si="5"/>
        <v>960250000</v>
      </c>
      <c r="T18" s="29">
        <f t="shared" si="6"/>
        <v>1524206349</v>
      </c>
      <c r="U18" s="29">
        <f t="shared" si="7"/>
        <v>563956349.2</v>
      </c>
      <c r="V18" s="4">
        <v>2021.0</v>
      </c>
      <c r="W18" s="6" t="s">
        <v>92</v>
      </c>
      <c r="X18" s="4" t="s">
        <v>93</v>
      </c>
      <c r="Y18" s="5" t="s">
        <v>94</v>
      </c>
    </row>
    <row r="19" ht="14.25" customHeight="1">
      <c r="A19" s="4">
        <v>17.0</v>
      </c>
      <c r="B19" s="2" t="s">
        <v>95</v>
      </c>
      <c r="C19" s="2" t="s">
        <v>96</v>
      </c>
      <c r="D19" s="3">
        <v>1.59E10</v>
      </c>
      <c r="E19" s="2" t="s">
        <v>90</v>
      </c>
      <c r="F19" s="4" t="str">
        <f>VLOOKUP(B19,Raw_Data_Collection!$B$2:$F$215,5,FALSE)</f>
        <v>N</v>
      </c>
      <c r="G19" s="3">
        <f>VLOOKUP(B19,Raw_Data_Collection!$B$2:$J$215,6,FALSE)</f>
        <v>29084160</v>
      </c>
      <c r="H19" s="5" t="s">
        <v>97</v>
      </c>
      <c r="I19" s="4">
        <v>2020.0</v>
      </c>
      <c r="J19" s="2" t="str">
        <f>VLOOKUP(B19,Raw_Data_Collection!$B$2:$J$215,9,FALSE)</f>
        <v/>
      </c>
      <c r="K19" s="18">
        <f>VLOOKUP(B19,Real_Estate_Stats_Preferred!$A$2:$G$215,7,FALSE)</f>
        <v>29084160</v>
      </c>
      <c r="L19" s="18">
        <f t="shared" si="1"/>
        <v>15870915840</v>
      </c>
      <c r="M19" s="4">
        <v>0.37</v>
      </c>
      <c r="N19" s="4">
        <v>0.05</v>
      </c>
      <c r="O19" s="29">
        <f t="shared" si="2"/>
        <v>793545792</v>
      </c>
      <c r="P19" s="29">
        <f t="shared" si="3"/>
        <v>1259596495</v>
      </c>
      <c r="Q19" s="29">
        <f t="shared" si="4"/>
        <v>466050703.2</v>
      </c>
      <c r="R19" s="4">
        <v>0.075</v>
      </c>
      <c r="S19" s="29">
        <f t="shared" si="5"/>
        <v>912577660.8</v>
      </c>
      <c r="T19" s="29">
        <f t="shared" si="6"/>
        <v>1448535970</v>
      </c>
      <c r="U19" s="29">
        <f t="shared" si="7"/>
        <v>535958308.7</v>
      </c>
      <c r="V19" s="4"/>
      <c r="W19" s="4"/>
    </row>
    <row r="20" ht="14.25" customHeight="1">
      <c r="A20" s="4">
        <v>18.0</v>
      </c>
      <c r="B20" s="2" t="s">
        <v>98</v>
      </c>
      <c r="C20" s="2" t="s">
        <v>99</v>
      </c>
      <c r="D20" s="3">
        <v>1.4E10</v>
      </c>
      <c r="E20" s="2" t="s">
        <v>100</v>
      </c>
      <c r="F20" s="4" t="str">
        <f>VLOOKUP(B20,Raw_Data_Collection!$B$2:$F$215,5,FALSE)</f>
        <v>N</v>
      </c>
      <c r="G20" s="3">
        <f>VLOOKUP(B20,Raw_Data_Collection!$B$2:$J$215,6,FALSE)</f>
        <v>70000000</v>
      </c>
      <c r="H20" s="5" t="s">
        <v>101</v>
      </c>
      <c r="I20" s="4">
        <v>2024.0</v>
      </c>
      <c r="J20" s="18">
        <f>VLOOKUP(B20,Raw_Data_Collection!$B$2:$J$215,9,FALSE)</f>
        <v>242000000</v>
      </c>
      <c r="K20" s="18">
        <f>VLOOKUP(B20,Real_Estate_Stats_Preferred!$A$2:$G$215,7,FALSE)</f>
        <v>242000000</v>
      </c>
      <c r="L20" s="18">
        <f t="shared" si="1"/>
        <v>13758000000</v>
      </c>
      <c r="M20" s="4">
        <v>0.37</v>
      </c>
      <c r="N20" s="4">
        <v>0.05</v>
      </c>
      <c r="O20" s="29">
        <f t="shared" si="2"/>
        <v>687900000</v>
      </c>
      <c r="P20" s="29">
        <f t="shared" si="3"/>
        <v>1091904762</v>
      </c>
      <c r="Q20" s="29">
        <f t="shared" si="4"/>
        <v>404004761.9</v>
      </c>
      <c r="R20" s="4">
        <v>0.075</v>
      </c>
      <c r="S20" s="29">
        <f t="shared" si="5"/>
        <v>791085000</v>
      </c>
      <c r="T20" s="29">
        <f t="shared" si="6"/>
        <v>1255690476</v>
      </c>
      <c r="U20" s="29">
        <f t="shared" si="7"/>
        <v>464605476.2</v>
      </c>
      <c r="V20" s="4" t="s">
        <v>102</v>
      </c>
      <c r="W20" s="8" t="s">
        <v>103</v>
      </c>
    </row>
    <row r="21" ht="14.25" customHeight="1">
      <c r="A21" s="4">
        <v>19.0</v>
      </c>
      <c r="B21" s="2" t="s">
        <v>104</v>
      </c>
      <c r="C21" s="2" t="s">
        <v>105</v>
      </c>
      <c r="D21" s="3">
        <v>1.38E10</v>
      </c>
      <c r="E21" s="2" t="s">
        <v>106</v>
      </c>
      <c r="F21" s="4" t="str">
        <f>VLOOKUP(B21,Raw_Data_Collection!$B$2:$F$215,5,FALSE)</f>
        <v>N</v>
      </c>
      <c r="G21" s="3" t="str">
        <f>VLOOKUP(B21,Raw_Data_Collection!$B$2:$J$215,6,FALSE)</f>
        <v/>
      </c>
      <c r="J21" s="2" t="str">
        <f>VLOOKUP(B21,Raw_Data_Collection!$B$2:$J$215,9,FALSE)</f>
        <v/>
      </c>
      <c r="K21" s="18">
        <f>VLOOKUP(B21,Real_Estate_Stats_Preferred!$A$2:$G$215,7,FALSE)</f>
        <v>87772928.57</v>
      </c>
      <c r="L21" s="18">
        <f t="shared" si="1"/>
        <v>13712227071</v>
      </c>
      <c r="M21" s="4">
        <v>0.37</v>
      </c>
      <c r="N21" s="4">
        <v>0.05</v>
      </c>
      <c r="O21" s="29">
        <f t="shared" si="2"/>
        <v>685611353.6</v>
      </c>
      <c r="P21" s="29">
        <f t="shared" si="3"/>
        <v>1088271990</v>
      </c>
      <c r="Q21" s="29">
        <f t="shared" si="4"/>
        <v>402660636.2</v>
      </c>
      <c r="R21" s="4">
        <v>0.075</v>
      </c>
      <c r="S21" s="29">
        <f t="shared" si="5"/>
        <v>788453056.6</v>
      </c>
      <c r="T21" s="29">
        <f t="shared" si="6"/>
        <v>1251512788</v>
      </c>
      <c r="U21" s="29">
        <f t="shared" si="7"/>
        <v>463059731.7</v>
      </c>
    </row>
    <row r="22" ht="14.25" customHeight="1">
      <c r="A22" s="4">
        <v>20.0</v>
      </c>
      <c r="B22" s="2" t="s">
        <v>107</v>
      </c>
      <c r="C22" s="2" t="s">
        <v>108</v>
      </c>
      <c r="D22" s="3">
        <v>1.31E10</v>
      </c>
      <c r="E22" s="4" t="s">
        <v>47</v>
      </c>
      <c r="F22" s="4" t="str">
        <f>VLOOKUP(B22,Raw_Data_Collection!$B$2:$F$215,5,FALSE)</f>
        <v>N</v>
      </c>
      <c r="G22" s="3">
        <f>VLOOKUP(B22,Raw_Data_Collection!$B$2:$J$215,6,FALSE)</f>
        <v>60000000</v>
      </c>
      <c r="H22" s="5" t="s">
        <v>109</v>
      </c>
      <c r="I22" s="4">
        <v>2025.0</v>
      </c>
      <c r="J22" s="18">
        <f>VLOOKUP(B22,Raw_Data_Collection!$B$2:$J$215,9,FALSE)</f>
        <v>100000000</v>
      </c>
      <c r="K22" s="18">
        <f>VLOOKUP(B22,Real_Estate_Stats_Preferred!$A$2:$G$215,7,FALSE)</f>
        <v>100000000</v>
      </c>
      <c r="L22" s="18">
        <f t="shared" si="1"/>
        <v>13000000000</v>
      </c>
      <c r="M22" s="4">
        <v>0.37</v>
      </c>
      <c r="N22" s="4">
        <v>0.05</v>
      </c>
      <c r="O22" s="29">
        <f t="shared" si="2"/>
        <v>650000000</v>
      </c>
      <c r="P22" s="29">
        <f t="shared" si="3"/>
        <v>1031746032</v>
      </c>
      <c r="Q22" s="29">
        <f t="shared" si="4"/>
        <v>381746031.7</v>
      </c>
      <c r="R22" s="4">
        <v>0.075</v>
      </c>
      <c r="S22" s="29">
        <f t="shared" si="5"/>
        <v>747500000</v>
      </c>
      <c r="T22" s="29">
        <f t="shared" si="6"/>
        <v>1186507937</v>
      </c>
      <c r="U22" s="29">
        <f t="shared" si="7"/>
        <v>439007936.5</v>
      </c>
      <c r="V22" s="4">
        <v>2025.0</v>
      </c>
      <c r="W22" s="5" t="s">
        <v>109</v>
      </c>
      <c r="X22" s="4" t="s">
        <v>110</v>
      </c>
    </row>
    <row r="23" ht="14.25" customHeight="1">
      <c r="A23" s="4">
        <v>21.0</v>
      </c>
      <c r="B23" s="2" t="s">
        <v>111</v>
      </c>
      <c r="C23" s="2" t="s">
        <v>112</v>
      </c>
      <c r="D23" s="3">
        <v>1.25E10</v>
      </c>
      <c r="E23" s="2" t="s">
        <v>113</v>
      </c>
      <c r="F23" s="4" t="str">
        <f>VLOOKUP(B23,Raw_Data_Collection!$B$2:$F$215,5,FALSE)</f>
        <v>N</v>
      </c>
      <c r="G23" s="3">
        <f>VLOOKUP(B23,Raw_Data_Collection!$B$2:$J$215,6,FALSE)</f>
        <v>17100579</v>
      </c>
      <c r="J23" s="18">
        <f>VLOOKUP(B23,Raw_Data_Collection!$B$2:$J$215,9,FALSE)</f>
        <v>17100579</v>
      </c>
      <c r="K23" s="18">
        <f>VLOOKUP(B23,Real_Estate_Stats_Preferred!$A$2:$G$215,7,FALSE)</f>
        <v>79504464.29</v>
      </c>
      <c r="L23" s="18">
        <f t="shared" si="1"/>
        <v>12420495536</v>
      </c>
      <c r="M23" s="4">
        <v>0.37</v>
      </c>
      <c r="N23" s="4">
        <v>0.05</v>
      </c>
      <c r="O23" s="29">
        <f t="shared" si="2"/>
        <v>621024776.8</v>
      </c>
      <c r="P23" s="29">
        <f t="shared" si="3"/>
        <v>985753613.9</v>
      </c>
      <c r="Q23" s="29">
        <f t="shared" si="4"/>
        <v>364728837.2</v>
      </c>
      <c r="R23" s="4">
        <v>0.075</v>
      </c>
      <c r="S23" s="29">
        <f t="shared" si="5"/>
        <v>714178493.3</v>
      </c>
      <c r="T23" s="29">
        <f t="shared" si="6"/>
        <v>1133616656</v>
      </c>
      <c r="U23" s="29">
        <f t="shared" si="7"/>
        <v>419438162.7</v>
      </c>
    </row>
    <row r="24" ht="14.25" customHeight="1">
      <c r="A24" s="4">
        <v>22.0</v>
      </c>
      <c r="B24" s="2" t="s">
        <v>116</v>
      </c>
      <c r="C24" s="2" t="s">
        <v>117</v>
      </c>
      <c r="D24" s="3">
        <v>1.16E10</v>
      </c>
      <c r="E24" s="4" t="s">
        <v>24</v>
      </c>
      <c r="F24" s="4" t="str">
        <f>VLOOKUP(B24,Raw_Data_Collection!$B$2:$F$215,5,FALSE)</f>
        <v>N</v>
      </c>
      <c r="G24" s="3">
        <f>VLOOKUP(B24,Raw_Data_Collection!$B$2:$J$215,6,FALSE)</f>
        <v>63300000</v>
      </c>
      <c r="H24" s="5" t="s">
        <v>118</v>
      </c>
      <c r="I24" s="4">
        <v>2020.0</v>
      </c>
      <c r="J24" s="18">
        <f>VLOOKUP(B24,Raw_Data_Collection!$B$2:$J$215,9,FALSE)</f>
        <v>86100000</v>
      </c>
      <c r="K24" s="18">
        <f>VLOOKUP(B24,Real_Estate_Stats_Preferred!$A$2:$G$215,7,FALSE)</f>
        <v>86100000</v>
      </c>
      <c r="L24" s="18">
        <f t="shared" si="1"/>
        <v>11513900000</v>
      </c>
      <c r="M24" s="4">
        <v>0.37</v>
      </c>
      <c r="N24" s="4">
        <v>0.05</v>
      </c>
      <c r="O24" s="29">
        <f t="shared" si="2"/>
        <v>575695000</v>
      </c>
      <c r="P24" s="29">
        <f t="shared" si="3"/>
        <v>913801587.3</v>
      </c>
      <c r="Q24" s="29">
        <f t="shared" si="4"/>
        <v>338106587.3</v>
      </c>
      <c r="R24" s="4">
        <v>0.075</v>
      </c>
      <c r="S24" s="29">
        <f t="shared" si="5"/>
        <v>662049250</v>
      </c>
      <c r="T24" s="29">
        <f t="shared" si="6"/>
        <v>1050871825</v>
      </c>
      <c r="U24" s="29">
        <f t="shared" si="7"/>
        <v>388822575.4</v>
      </c>
      <c r="V24" s="4" t="s">
        <v>119</v>
      </c>
      <c r="W24" s="6" t="s">
        <v>118</v>
      </c>
    </row>
    <row r="25" ht="14.25" customHeight="1">
      <c r="A25" s="4">
        <v>23.0</v>
      </c>
      <c r="B25" s="2" t="s">
        <v>120</v>
      </c>
      <c r="C25" s="2" t="s">
        <v>121</v>
      </c>
      <c r="D25" s="3">
        <v>1.12E10</v>
      </c>
      <c r="E25" s="2" t="s">
        <v>100</v>
      </c>
      <c r="F25" s="4" t="str">
        <f>VLOOKUP(B25,Raw_Data_Collection!$B$2:$F$215,5,FALSE)</f>
        <v>N</v>
      </c>
      <c r="G25" s="3">
        <f>VLOOKUP(B25,Raw_Data_Collection!$B$2:$J$215,6,FALSE)</f>
        <v>800000</v>
      </c>
      <c r="H25" s="5" t="s">
        <v>122</v>
      </c>
      <c r="I25" s="4">
        <v>2011.0</v>
      </c>
      <c r="J25" s="2" t="str">
        <f>VLOOKUP(B25,Raw_Data_Collection!$B$2:$J$215,9,FALSE)</f>
        <v/>
      </c>
      <c r="K25" s="18">
        <f>VLOOKUP(B25,Real_Estate_Stats_Preferred!$A$2:$G$215,7,FALSE)</f>
        <v>800000</v>
      </c>
      <c r="L25" s="18">
        <f t="shared" si="1"/>
        <v>11199200000</v>
      </c>
      <c r="M25" s="4">
        <v>0.37</v>
      </c>
      <c r="N25" s="4">
        <v>0.05</v>
      </c>
      <c r="O25" s="29">
        <f t="shared" si="2"/>
        <v>559960000</v>
      </c>
      <c r="P25" s="29">
        <f t="shared" si="3"/>
        <v>888825396.8</v>
      </c>
      <c r="Q25" s="29">
        <f t="shared" si="4"/>
        <v>328865396.8</v>
      </c>
      <c r="R25" s="4">
        <v>0.075</v>
      </c>
      <c r="S25" s="29">
        <f t="shared" si="5"/>
        <v>643954000</v>
      </c>
      <c r="T25" s="29">
        <f t="shared" si="6"/>
        <v>1022149206</v>
      </c>
      <c r="U25" s="29">
        <f t="shared" si="7"/>
        <v>378195206.3</v>
      </c>
      <c r="V25" s="4"/>
      <c r="W25" s="4"/>
      <c r="X25" s="4" t="s">
        <v>123</v>
      </c>
    </row>
    <row r="26" ht="14.25" customHeight="1">
      <c r="A26" s="4">
        <v>24.0</v>
      </c>
      <c r="B26" s="2" t="s">
        <v>124</v>
      </c>
      <c r="C26" s="2" t="s">
        <v>125</v>
      </c>
      <c r="D26" s="3">
        <v>1.07E10</v>
      </c>
      <c r="E26" s="4" t="s">
        <v>126</v>
      </c>
      <c r="F26" s="4" t="str">
        <f>VLOOKUP(B26,Raw_Data_Collection!$B$2:$F$215,5,FALSE)</f>
        <v>N</v>
      </c>
      <c r="G26" s="3">
        <f>VLOOKUP(B26,Raw_Data_Collection!$B$2:$J$215,6,FALSE)</f>
        <v>10000000</v>
      </c>
      <c r="H26" s="5" t="s">
        <v>127</v>
      </c>
      <c r="I26" s="4">
        <v>2026.0</v>
      </c>
      <c r="J26" s="18">
        <f>VLOOKUP(B26,Raw_Data_Collection!$B$2:$J$215,9,FALSE)</f>
        <v>80000000</v>
      </c>
      <c r="K26" s="18">
        <f>VLOOKUP(B26,Real_Estate_Stats_Preferred!$A$2:$G$215,7,FALSE)</f>
        <v>80000000</v>
      </c>
      <c r="L26" s="18">
        <f t="shared" si="1"/>
        <v>10620000000</v>
      </c>
      <c r="M26" s="4">
        <v>0.37</v>
      </c>
      <c r="N26" s="4">
        <v>0.05</v>
      </c>
      <c r="O26" s="29">
        <f t="shared" si="2"/>
        <v>531000000</v>
      </c>
      <c r="P26" s="29">
        <f t="shared" si="3"/>
        <v>842857142.9</v>
      </c>
      <c r="Q26" s="29">
        <f t="shared" si="4"/>
        <v>311857142.9</v>
      </c>
      <c r="R26" s="4">
        <v>0.075</v>
      </c>
      <c r="S26" s="29">
        <f t="shared" si="5"/>
        <v>610650000</v>
      </c>
      <c r="T26" s="29">
        <f t="shared" si="6"/>
        <v>969285714.3</v>
      </c>
      <c r="U26" s="29">
        <f t="shared" si="7"/>
        <v>358635714.3</v>
      </c>
      <c r="V26" s="4" t="s">
        <v>128</v>
      </c>
      <c r="W26" s="5" t="s">
        <v>127</v>
      </c>
    </row>
    <row r="27" ht="14.25" customHeight="1">
      <c r="A27" s="4">
        <v>25.0</v>
      </c>
      <c r="B27" s="2" t="s">
        <v>129</v>
      </c>
      <c r="C27" s="2" t="s">
        <v>130</v>
      </c>
      <c r="D27" s="3">
        <v>1.02E10</v>
      </c>
      <c r="E27" s="2" t="s">
        <v>100</v>
      </c>
      <c r="F27" s="4" t="str">
        <f>VLOOKUP(B27,Raw_Data_Collection!$B$2:$F$215,5,FALSE)</f>
        <v>N</v>
      </c>
      <c r="G27" s="3">
        <f>VLOOKUP(B27,Raw_Data_Collection!$B$2:$J$215,6,FALSE)</f>
        <v>13500000</v>
      </c>
      <c r="H27" s="5" t="s">
        <v>131</v>
      </c>
      <c r="I27" s="4">
        <v>2025.0</v>
      </c>
      <c r="J27" s="18">
        <f>VLOOKUP(B27,Raw_Data_Collection!$B$2:$J$215,9,FALSE)</f>
        <v>13500000</v>
      </c>
      <c r="K27" s="18">
        <f>VLOOKUP(B27,Real_Estate_Stats_Preferred!$A$2:$G$215,7,FALSE)</f>
        <v>13500000</v>
      </c>
      <c r="L27" s="18">
        <f t="shared" si="1"/>
        <v>10186500000</v>
      </c>
      <c r="M27" s="4">
        <v>0.37</v>
      </c>
      <c r="N27" s="4">
        <v>0.05</v>
      </c>
      <c r="O27" s="29">
        <f t="shared" si="2"/>
        <v>509325000</v>
      </c>
      <c r="P27" s="29">
        <f t="shared" si="3"/>
        <v>808452381</v>
      </c>
      <c r="Q27" s="29">
        <f t="shared" si="4"/>
        <v>299127381</v>
      </c>
      <c r="R27" s="4">
        <v>0.075</v>
      </c>
      <c r="S27" s="29">
        <f t="shared" si="5"/>
        <v>585723750</v>
      </c>
      <c r="T27" s="29">
        <f t="shared" si="6"/>
        <v>929720238.1</v>
      </c>
      <c r="U27" s="29">
        <f t="shared" si="7"/>
        <v>343996488.1</v>
      </c>
      <c r="V27" s="4">
        <v>2025.0</v>
      </c>
      <c r="W27" s="6" t="s">
        <v>132</v>
      </c>
    </row>
    <row r="28" ht="14.25" customHeight="1">
      <c r="A28" s="4">
        <v>26.0</v>
      </c>
      <c r="B28" s="2" t="s">
        <v>133</v>
      </c>
      <c r="C28" s="2" t="s">
        <v>134</v>
      </c>
      <c r="D28" s="3">
        <v>1.01E10</v>
      </c>
      <c r="E28" s="4" t="s">
        <v>47</v>
      </c>
      <c r="F28" s="4" t="str">
        <f>VLOOKUP(B28,Raw_Data_Collection!$B$2:$F$215,5,FALSE)</f>
        <v>N</v>
      </c>
      <c r="G28" s="3">
        <f>VLOOKUP(B28,Raw_Data_Collection!$B$2:$J$215,6,FALSE)</f>
        <v>133000000</v>
      </c>
      <c r="H28" s="5" t="s">
        <v>135</v>
      </c>
      <c r="I28" s="4">
        <v>2022.0</v>
      </c>
      <c r="J28" s="18">
        <f>VLOOKUP(B28,Raw_Data_Collection!$B$2:$J$215,9,FALSE)</f>
        <v>133000000</v>
      </c>
      <c r="K28" s="18">
        <f>VLOOKUP(B28,Real_Estate_Stats_Preferred!$A$2:$G$215,7,FALSE)</f>
        <v>133000000</v>
      </c>
      <c r="L28" s="18">
        <f t="shared" si="1"/>
        <v>9967000000</v>
      </c>
      <c r="M28" s="4">
        <v>0.37</v>
      </c>
      <c r="N28" s="4">
        <v>0.05</v>
      </c>
      <c r="O28" s="29">
        <f t="shared" si="2"/>
        <v>498350000</v>
      </c>
      <c r="P28" s="29">
        <f t="shared" si="3"/>
        <v>791031746</v>
      </c>
      <c r="Q28" s="29">
        <f t="shared" si="4"/>
        <v>292681746</v>
      </c>
      <c r="R28" s="4">
        <v>0.075</v>
      </c>
      <c r="S28" s="29">
        <f t="shared" si="5"/>
        <v>573102500</v>
      </c>
      <c r="T28" s="29">
        <f t="shared" si="6"/>
        <v>909686507.9</v>
      </c>
      <c r="U28" s="29">
        <f t="shared" si="7"/>
        <v>336584007.9</v>
      </c>
      <c r="V28" s="4">
        <v>2022.0</v>
      </c>
      <c r="W28" s="5" t="s">
        <v>135</v>
      </c>
    </row>
    <row r="29" ht="14.25" customHeight="1">
      <c r="A29" s="4">
        <v>27.0</v>
      </c>
      <c r="B29" s="2" t="s">
        <v>136</v>
      </c>
      <c r="C29" s="2" t="s">
        <v>137</v>
      </c>
      <c r="D29" s="3">
        <v>1.0E10</v>
      </c>
      <c r="E29" s="2" t="s">
        <v>47</v>
      </c>
      <c r="F29" s="4" t="str">
        <f>VLOOKUP(B29,Raw_Data_Collection!$B$2:$F$215,5,FALSE)</f>
        <v>N</v>
      </c>
      <c r="G29" s="3" t="str">
        <f>VLOOKUP(B29,Raw_Data_Collection!$B$2:$J$215,6,FALSE)</f>
        <v/>
      </c>
      <c r="J29" s="2" t="str">
        <f>VLOOKUP(B29,Raw_Data_Collection!$B$2:$J$215,9,FALSE)</f>
        <v/>
      </c>
      <c r="K29" s="18">
        <f>VLOOKUP(B29,Real_Estate_Stats_Preferred!$A$2:$G$215,7,FALSE)</f>
        <v>63603571.43</v>
      </c>
      <c r="L29" s="18">
        <f t="shared" si="1"/>
        <v>9936396429</v>
      </c>
      <c r="M29" s="4">
        <v>0.37</v>
      </c>
      <c r="N29" s="4">
        <v>0.05</v>
      </c>
      <c r="O29" s="29">
        <f t="shared" si="2"/>
        <v>496819821.4</v>
      </c>
      <c r="P29" s="29">
        <f t="shared" si="3"/>
        <v>788602891.2</v>
      </c>
      <c r="Q29" s="29">
        <f t="shared" si="4"/>
        <v>291783069.7</v>
      </c>
      <c r="R29" s="4">
        <v>0.075</v>
      </c>
      <c r="S29" s="29">
        <f t="shared" si="5"/>
        <v>571342794.6</v>
      </c>
      <c r="T29" s="29">
        <f t="shared" si="6"/>
        <v>906893324.8</v>
      </c>
      <c r="U29" s="29">
        <f t="shared" si="7"/>
        <v>335550530.2</v>
      </c>
    </row>
    <row r="30" ht="14.25" customHeight="1">
      <c r="A30" s="4">
        <v>28.0</v>
      </c>
      <c r="B30" s="2" t="s">
        <v>138</v>
      </c>
      <c r="C30" s="2" t="s">
        <v>137</v>
      </c>
      <c r="D30" s="3">
        <v>1.0E10</v>
      </c>
      <c r="E30" s="2" t="s">
        <v>80</v>
      </c>
      <c r="F30" s="4" t="str">
        <f>VLOOKUP(B30,Raw_Data_Collection!$B$2:$F$215,5,FALSE)</f>
        <v>N</v>
      </c>
      <c r="G30" s="3">
        <f>VLOOKUP(B30,Raw_Data_Collection!$B$2:$J$215,6,FALSE)</f>
        <v>100000000</v>
      </c>
      <c r="H30" s="5" t="s">
        <v>139</v>
      </c>
      <c r="I30" s="4">
        <v>2016.0</v>
      </c>
      <c r="J30" s="18">
        <f>VLOOKUP(B30,Raw_Data_Collection!$B$2:$J$215,9,FALSE)</f>
        <v>138000000</v>
      </c>
      <c r="K30" s="18">
        <f>VLOOKUP(B30,Real_Estate_Stats_Preferred!$A$2:$G$215,7,FALSE)</f>
        <v>138000000</v>
      </c>
      <c r="L30" s="18">
        <f t="shared" si="1"/>
        <v>9862000000</v>
      </c>
      <c r="M30" s="4">
        <v>0.37</v>
      </c>
      <c r="N30" s="4">
        <v>0.05</v>
      </c>
      <c r="O30" s="29">
        <f t="shared" si="2"/>
        <v>493100000</v>
      </c>
      <c r="P30" s="29">
        <f t="shared" si="3"/>
        <v>782698412.7</v>
      </c>
      <c r="Q30" s="29">
        <f t="shared" si="4"/>
        <v>289598412.7</v>
      </c>
      <c r="R30" s="4">
        <v>0.075</v>
      </c>
      <c r="S30" s="29">
        <f t="shared" si="5"/>
        <v>567065000</v>
      </c>
      <c r="T30" s="29">
        <f t="shared" si="6"/>
        <v>900103174.6</v>
      </c>
      <c r="U30" s="29">
        <f t="shared" si="7"/>
        <v>333038174.6</v>
      </c>
      <c r="V30" s="4" t="s">
        <v>140</v>
      </c>
      <c r="W30" s="4" t="s">
        <v>141</v>
      </c>
    </row>
    <row r="31" ht="14.25" customHeight="1">
      <c r="A31" s="4">
        <v>29.0</v>
      </c>
      <c r="B31" s="2" t="s">
        <v>142</v>
      </c>
      <c r="C31" s="2" t="s">
        <v>143</v>
      </c>
      <c r="D31" s="3">
        <v>9.8E9</v>
      </c>
      <c r="E31" s="4" t="s">
        <v>354</v>
      </c>
      <c r="F31" s="4" t="str">
        <f>VLOOKUP(B31,Raw_Data_Collection!$B$2:$F$215,5,FALSE)</f>
        <v>N</v>
      </c>
      <c r="G31" s="3" t="str">
        <f>VLOOKUP(B31,Raw_Data_Collection!$B$2:$J$215,6,FALSE)</f>
        <v/>
      </c>
      <c r="J31" s="2" t="str">
        <f>VLOOKUP(B31,Raw_Data_Collection!$B$2:$J$215,9,FALSE)</f>
        <v/>
      </c>
      <c r="K31" s="18">
        <f>VLOOKUP(B31,Real_Estate_Stats_Preferred!$A$2:$G$215,7,FALSE)</f>
        <v>62331500</v>
      </c>
      <c r="L31" s="18">
        <f t="shared" si="1"/>
        <v>9737668500</v>
      </c>
      <c r="M31" s="4">
        <v>0.37</v>
      </c>
      <c r="N31" s="4">
        <v>0.05</v>
      </c>
      <c r="O31" s="29">
        <f t="shared" si="2"/>
        <v>486883425</v>
      </c>
      <c r="P31" s="29">
        <f t="shared" si="3"/>
        <v>772830833.3</v>
      </c>
      <c r="Q31" s="29">
        <f t="shared" si="4"/>
        <v>285947408.3</v>
      </c>
      <c r="R31" s="4">
        <v>0.075</v>
      </c>
      <c r="S31" s="29">
        <f t="shared" si="5"/>
        <v>559915938.8</v>
      </c>
      <c r="T31" s="29">
        <f t="shared" si="6"/>
        <v>888755458.3</v>
      </c>
      <c r="U31" s="29">
        <f t="shared" si="7"/>
        <v>328839519.6</v>
      </c>
    </row>
    <row r="32" ht="14.25" customHeight="1">
      <c r="A32" s="4">
        <v>30.0</v>
      </c>
      <c r="B32" s="2" t="s">
        <v>144</v>
      </c>
      <c r="C32" s="2" t="s">
        <v>145</v>
      </c>
      <c r="D32" s="3">
        <v>9.6E9</v>
      </c>
      <c r="E32" s="2" t="s">
        <v>100</v>
      </c>
      <c r="F32" s="4" t="str">
        <f>VLOOKUP(B32,Raw_Data_Collection!$B$2:$F$215,5,FALSE)</f>
        <v>N</v>
      </c>
      <c r="G32" s="3" t="str">
        <f>VLOOKUP(B32,Raw_Data_Collection!$B$2:$J$215,6,FALSE)</f>
        <v/>
      </c>
      <c r="J32" s="2" t="str">
        <f>VLOOKUP(B32,Raw_Data_Collection!$B$2:$J$215,9,FALSE)</f>
        <v/>
      </c>
      <c r="K32" s="18">
        <f>VLOOKUP(B32,Real_Estate_Stats_Preferred!$A$2:$G$215,7,FALSE)</f>
        <v>61059428.57</v>
      </c>
      <c r="L32" s="18">
        <f t="shared" si="1"/>
        <v>9538940571</v>
      </c>
      <c r="M32" s="4">
        <v>0.37</v>
      </c>
      <c r="N32" s="4">
        <v>0.05</v>
      </c>
      <c r="O32" s="29">
        <f t="shared" si="2"/>
        <v>476947028.6</v>
      </c>
      <c r="P32" s="29">
        <f t="shared" si="3"/>
        <v>757058775.5</v>
      </c>
      <c r="Q32" s="29">
        <f t="shared" si="4"/>
        <v>280111746.9</v>
      </c>
      <c r="R32" s="4">
        <v>0.075</v>
      </c>
      <c r="S32" s="29">
        <f t="shared" si="5"/>
        <v>548489082.9</v>
      </c>
      <c r="T32" s="29">
        <f t="shared" si="6"/>
        <v>870617591.8</v>
      </c>
      <c r="U32" s="29">
        <f t="shared" si="7"/>
        <v>322128509</v>
      </c>
      <c r="Y32" s="5" t="s">
        <v>146</v>
      </c>
    </row>
    <row r="33" ht="14.25" customHeight="1">
      <c r="A33" s="4">
        <v>31.0</v>
      </c>
      <c r="B33" s="2" t="s">
        <v>147</v>
      </c>
      <c r="C33" s="2" t="s">
        <v>148</v>
      </c>
      <c r="D33" s="3">
        <v>9.3E9</v>
      </c>
      <c r="E33" s="2" t="s">
        <v>100</v>
      </c>
      <c r="F33" s="4" t="str">
        <f>VLOOKUP(B33,Raw_Data_Collection!$B$2:$F$215,5,FALSE)</f>
        <v>N</v>
      </c>
      <c r="G33" s="3">
        <f>VLOOKUP(B33,Raw_Data_Collection!$B$2:$J$215,6,FALSE)</f>
        <v>18000000</v>
      </c>
      <c r="H33" s="5" t="s">
        <v>149</v>
      </c>
      <c r="I33" s="4">
        <v>2009.0</v>
      </c>
      <c r="J33" s="2" t="str">
        <f>VLOOKUP(B33,Raw_Data_Collection!$B$2:$J$215,9,FALSE)</f>
        <v/>
      </c>
      <c r="K33" s="18">
        <f>VLOOKUP(B33,Real_Estate_Stats_Preferred!$A$2:$G$215,7,FALSE)</f>
        <v>18000000</v>
      </c>
      <c r="L33" s="18">
        <f t="shared" si="1"/>
        <v>9282000000</v>
      </c>
      <c r="M33" s="4">
        <v>0.37</v>
      </c>
      <c r="N33" s="4">
        <v>0.05</v>
      </c>
      <c r="O33" s="29">
        <f t="shared" si="2"/>
        <v>464100000</v>
      </c>
      <c r="P33" s="29">
        <f t="shared" si="3"/>
        <v>736666666.7</v>
      </c>
      <c r="Q33" s="29">
        <f t="shared" si="4"/>
        <v>272566666.7</v>
      </c>
      <c r="R33" s="4">
        <v>0.075</v>
      </c>
      <c r="S33" s="29">
        <f t="shared" si="5"/>
        <v>533715000</v>
      </c>
      <c r="T33" s="29">
        <f t="shared" si="6"/>
        <v>847166666.7</v>
      </c>
      <c r="U33" s="29">
        <f t="shared" si="7"/>
        <v>313451666.7</v>
      </c>
      <c r="V33" s="4"/>
      <c r="W33" s="4"/>
    </row>
    <row r="34" ht="14.25" customHeight="1">
      <c r="A34" s="4">
        <v>32.0</v>
      </c>
      <c r="B34" s="2" t="s">
        <v>150</v>
      </c>
      <c r="C34" s="2" t="s">
        <v>151</v>
      </c>
      <c r="D34" s="3">
        <v>9.2E9</v>
      </c>
      <c r="E34" s="2" t="s">
        <v>80</v>
      </c>
      <c r="F34" s="4" t="str">
        <f>VLOOKUP(B34,Raw_Data_Collection!$B$2:$F$215,5,FALSE)</f>
        <v>N</v>
      </c>
      <c r="G34" s="3">
        <f>VLOOKUP(B34,Raw_Data_Collection!$B$2:$J$215,6,FALSE)</f>
        <v>68000000</v>
      </c>
      <c r="H34" s="5" t="s">
        <v>152</v>
      </c>
      <c r="I34" s="4">
        <v>2020.0</v>
      </c>
      <c r="J34" s="18">
        <f>VLOOKUP(B34,Raw_Data_Collection!$B$2:$J$215,9,FALSE)</f>
        <v>132000000</v>
      </c>
      <c r="K34" s="18">
        <f>VLOOKUP(B34,Real_Estate_Stats_Preferred!$A$2:$G$215,7,FALSE)</f>
        <v>132000000</v>
      </c>
      <c r="L34" s="18">
        <f t="shared" si="1"/>
        <v>9068000000</v>
      </c>
      <c r="M34" s="4">
        <v>0.37</v>
      </c>
      <c r="N34" s="4">
        <v>0.05</v>
      </c>
      <c r="O34" s="29">
        <f t="shared" si="2"/>
        <v>453400000</v>
      </c>
      <c r="P34" s="29">
        <f t="shared" si="3"/>
        <v>719682539.7</v>
      </c>
      <c r="Q34" s="29">
        <f t="shared" si="4"/>
        <v>266282539.7</v>
      </c>
      <c r="R34" s="4">
        <v>0.075</v>
      </c>
      <c r="S34" s="29">
        <f t="shared" si="5"/>
        <v>521410000</v>
      </c>
      <c r="T34" s="29">
        <f t="shared" si="6"/>
        <v>827634920.6</v>
      </c>
      <c r="U34" s="29">
        <f t="shared" si="7"/>
        <v>306224920.6</v>
      </c>
      <c r="V34" s="4" t="s">
        <v>153</v>
      </c>
      <c r="W34" s="10" t="s">
        <v>821</v>
      </c>
    </row>
    <row r="35" ht="14.25" customHeight="1">
      <c r="A35" s="4">
        <v>33.0</v>
      </c>
      <c r="B35" s="2" t="s">
        <v>155</v>
      </c>
      <c r="C35" s="2" t="s">
        <v>156</v>
      </c>
      <c r="D35" s="3">
        <v>9.1E9</v>
      </c>
      <c r="E35" s="2" t="s">
        <v>100</v>
      </c>
      <c r="F35" s="4" t="str">
        <f>VLOOKUP(B35,Raw_Data_Collection!$B$2:$F$215,5,FALSE)</f>
        <v>N</v>
      </c>
      <c r="G35" s="3" t="str">
        <f>VLOOKUP(B35,Raw_Data_Collection!$B$2:$J$215,6,FALSE)</f>
        <v/>
      </c>
      <c r="J35" s="2" t="str">
        <f>VLOOKUP(B35,Raw_Data_Collection!$B$2:$J$215,9,FALSE)</f>
        <v/>
      </c>
      <c r="K35" s="18">
        <f>VLOOKUP(B35,Real_Estate_Stats_Preferred!$A$2:$G$215,7,FALSE)</f>
        <v>57879250</v>
      </c>
      <c r="L35" s="18">
        <f t="shared" si="1"/>
        <v>9042120750</v>
      </c>
      <c r="M35" s="4">
        <v>0.37</v>
      </c>
      <c r="N35" s="4">
        <v>0.05</v>
      </c>
      <c r="O35" s="29">
        <f t="shared" si="2"/>
        <v>452106037.5</v>
      </c>
      <c r="P35" s="29">
        <f t="shared" si="3"/>
        <v>717628631</v>
      </c>
      <c r="Q35" s="29">
        <f t="shared" si="4"/>
        <v>265522593.5</v>
      </c>
      <c r="R35" s="4">
        <v>0.075</v>
      </c>
      <c r="S35" s="29">
        <f t="shared" si="5"/>
        <v>519921943.1</v>
      </c>
      <c r="T35" s="29">
        <f t="shared" si="6"/>
        <v>825272925.6</v>
      </c>
      <c r="U35" s="29">
        <f t="shared" si="7"/>
        <v>305350982.5</v>
      </c>
    </row>
    <row r="36" ht="14.25" customHeight="1">
      <c r="A36" s="4">
        <v>34.0</v>
      </c>
      <c r="B36" s="2" t="s">
        <v>162</v>
      </c>
      <c r="C36" s="2" t="s">
        <v>158</v>
      </c>
      <c r="D36" s="3">
        <v>8.6E9</v>
      </c>
      <c r="E36" s="2" t="s">
        <v>163</v>
      </c>
      <c r="F36" s="4" t="str">
        <f>VLOOKUP(B36,Raw_Data_Collection!$B$2:$F$215,5,FALSE)</f>
        <v>N</v>
      </c>
      <c r="G36" s="3" t="str">
        <f>VLOOKUP(B36,Raw_Data_Collection!$B$2:$J$215,6,FALSE)</f>
        <v/>
      </c>
      <c r="J36" s="2" t="str">
        <f>VLOOKUP(B36,Raw_Data_Collection!$B$2:$J$215,9,FALSE)</f>
        <v/>
      </c>
      <c r="K36" s="18">
        <f>VLOOKUP(B36,Real_Estate_Stats_Preferred!$A$2:$G$215,7,FALSE)</f>
        <v>54699071.43</v>
      </c>
      <c r="L36" s="18">
        <f t="shared" si="1"/>
        <v>8545300929</v>
      </c>
      <c r="M36" s="4">
        <v>0.37</v>
      </c>
      <c r="N36" s="4">
        <v>0.05</v>
      </c>
      <c r="O36" s="29">
        <f t="shared" si="2"/>
        <v>427265046.4</v>
      </c>
      <c r="P36" s="29">
        <f t="shared" si="3"/>
        <v>678198486.4</v>
      </c>
      <c r="Q36" s="29">
        <f t="shared" si="4"/>
        <v>250933440</v>
      </c>
      <c r="R36" s="4">
        <v>0.075</v>
      </c>
      <c r="S36" s="29">
        <f t="shared" si="5"/>
        <v>491354803.4</v>
      </c>
      <c r="T36" s="29">
        <f t="shared" si="6"/>
        <v>779928259.4</v>
      </c>
      <c r="U36" s="29">
        <f t="shared" si="7"/>
        <v>288573456</v>
      </c>
    </row>
    <row r="37" ht="14.25" customHeight="1">
      <c r="A37" s="4">
        <v>35.0</v>
      </c>
      <c r="B37" s="2" t="s">
        <v>164</v>
      </c>
      <c r="C37" s="2" t="s">
        <v>165</v>
      </c>
      <c r="D37" s="3">
        <v>8.1E9</v>
      </c>
      <c r="E37" s="2" t="s">
        <v>166</v>
      </c>
      <c r="F37" s="4" t="str">
        <f>VLOOKUP(B37,Raw_Data_Collection!$B$2:$F$215,5,FALSE)</f>
        <v>Y</v>
      </c>
      <c r="G37" s="3">
        <f>VLOOKUP(B37,Raw_Data_Collection!$B$2:$J$215,6,FALSE)</f>
        <v>10659988</v>
      </c>
      <c r="H37" s="5" t="s">
        <v>167</v>
      </c>
      <c r="I37" s="4">
        <v>2026.0</v>
      </c>
      <c r="J37" s="18">
        <f>VLOOKUP(B37,Raw_Data_Collection!$B$2:$J$215,9,FALSE)</f>
        <v>51300000</v>
      </c>
      <c r="K37" s="18">
        <f>VLOOKUP(B37,Real_Estate_Stats_Preferred!$A$2:$G$215,7,FALSE)</f>
        <v>51300000</v>
      </c>
      <c r="L37" s="18">
        <f t="shared" si="1"/>
        <v>8048700000</v>
      </c>
      <c r="M37" s="4">
        <v>0.37</v>
      </c>
      <c r="N37" s="4">
        <v>0.05</v>
      </c>
      <c r="O37" s="29">
        <f t="shared" si="2"/>
        <v>402435000</v>
      </c>
      <c r="P37" s="29">
        <f t="shared" si="3"/>
        <v>638785714.3</v>
      </c>
      <c r="Q37" s="29">
        <f t="shared" si="4"/>
        <v>236350714.3</v>
      </c>
      <c r="R37" s="4">
        <v>0.075</v>
      </c>
      <c r="S37" s="29">
        <f t="shared" si="5"/>
        <v>462800250</v>
      </c>
      <c r="T37" s="29">
        <f t="shared" si="6"/>
        <v>734603571.4</v>
      </c>
      <c r="U37" s="29">
        <f t="shared" si="7"/>
        <v>271803321.4</v>
      </c>
      <c r="V37" s="4" t="s">
        <v>168</v>
      </c>
      <c r="W37" s="4" t="s">
        <v>169</v>
      </c>
      <c r="X37" s="7" t="s">
        <v>822</v>
      </c>
      <c r="Y37" s="5" t="s">
        <v>171</v>
      </c>
    </row>
    <row r="38" ht="14.25" customHeight="1">
      <c r="A38" s="4">
        <v>36.0</v>
      </c>
      <c r="B38" s="2" t="s">
        <v>172</v>
      </c>
      <c r="C38" s="2" t="s">
        <v>173</v>
      </c>
      <c r="D38" s="3">
        <v>7.8E9</v>
      </c>
      <c r="E38" s="2" t="s">
        <v>17</v>
      </c>
      <c r="F38" s="4" t="str">
        <f>VLOOKUP(B38,Raw_Data_Collection!$B$2:$F$215,5,FALSE)</f>
        <v>N</v>
      </c>
      <c r="G38" s="3">
        <f>VLOOKUP(B38,Raw_Data_Collection!$B$2:$J$215,6,FALSE)</f>
        <v>8683775</v>
      </c>
      <c r="H38" s="5" t="s">
        <v>174</v>
      </c>
      <c r="I38" s="4">
        <v>2026.0</v>
      </c>
      <c r="J38" s="18">
        <f>VLOOKUP(B38,Raw_Data_Collection!$B$2:$J$215,9,FALSE)</f>
        <v>8683775</v>
      </c>
      <c r="K38" s="18">
        <f>VLOOKUP(B38,Real_Estate_Stats_Preferred!$A$2:$G$215,7,FALSE)</f>
        <v>8683775</v>
      </c>
      <c r="L38" s="18">
        <f t="shared" si="1"/>
        <v>7791316225</v>
      </c>
      <c r="M38" s="4">
        <v>0.37</v>
      </c>
      <c r="N38" s="4">
        <v>0.05</v>
      </c>
      <c r="O38" s="29">
        <f t="shared" si="2"/>
        <v>389565811.3</v>
      </c>
      <c r="P38" s="29">
        <f t="shared" si="3"/>
        <v>618358430.6</v>
      </c>
      <c r="Q38" s="29">
        <f t="shared" si="4"/>
        <v>228792619.3</v>
      </c>
      <c r="R38" s="4">
        <v>0.075</v>
      </c>
      <c r="S38" s="29">
        <f t="shared" si="5"/>
        <v>448000682.9</v>
      </c>
      <c r="T38" s="29">
        <f t="shared" si="6"/>
        <v>711112195.1</v>
      </c>
      <c r="U38" s="29">
        <f t="shared" si="7"/>
        <v>263111512.2</v>
      </c>
      <c r="V38" s="4">
        <v>2026.0</v>
      </c>
      <c r="W38" s="6" t="s">
        <v>174</v>
      </c>
      <c r="X38" s="7" t="s">
        <v>823</v>
      </c>
    </row>
    <row r="39" ht="14.25" customHeight="1">
      <c r="A39" s="4">
        <v>37.0</v>
      </c>
      <c r="B39" s="2" t="s">
        <v>176</v>
      </c>
      <c r="C39" s="2" t="s">
        <v>177</v>
      </c>
      <c r="D39" s="3">
        <v>7.7E9</v>
      </c>
      <c r="E39" s="2" t="s">
        <v>100</v>
      </c>
      <c r="F39" s="4" t="str">
        <f>VLOOKUP(B39,Raw_Data_Collection!$B$2:$F$215,5,FALSE)</f>
        <v>N</v>
      </c>
      <c r="G39" s="3">
        <f>VLOOKUP(B39,Raw_Data_Collection!$B$2:$J$215,6,FALSE)</f>
        <v>10600000</v>
      </c>
      <c r="H39" s="5" t="s">
        <v>178</v>
      </c>
      <c r="I39" s="4">
        <v>2002.0</v>
      </c>
      <c r="J39" s="18">
        <f>VLOOKUP(B39,Raw_Data_Collection!$B$2:$J$215,9,FALSE)</f>
        <v>10600000</v>
      </c>
      <c r="K39" s="18">
        <f>VLOOKUP(B39,Real_Estate_Stats_Preferred!$A$2:$G$215,7,FALSE)</f>
        <v>10600000</v>
      </c>
      <c r="L39" s="18">
        <f t="shared" si="1"/>
        <v>7689400000</v>
      </c>
      <c r="M39" s="4">
        <v>0.37</v>
      </c>
      <c r="N39" s="4">
        <v>0.05</v>
      </c>
      <c r="O39" s="29">
        <f t="shared" si="2"/>
        <v>384470000</v>
      </c>
      <c r="P39" s="29">
        <f t="shared" si="3"/>
        <v>610269841.3</v>
      </c>
      <c r="Q39" s="29">
        <f t="shared" si="4"/>
        <v>225799841.3</v>
      </c>
      <c r="R39" s="4">
        <v>0.075</v>
      </c>
      <c r="S39" s="29">
        <f t="shared" si="5"/>
        <v>442140500</v>
      </c>
      <c r="T39" s="29">
        <f t="shared" si="6"/>
        <v>701810317.5</v>
      </c>
      <c r="U39" s="29">
        <f t="shared" si="7"/>
        <v>259669817.5</v>
      </c>
      <c r="V39" s="4">
        <v>2002.0</v>
      </c>
      <c r="W39" s="5" t="s">
        <v>178</v>
      </c>
      <c r="Y39" s="5" t="s">
        <v>179</v>
      </c>
    </row>
    <row r="40" ht="14.25" customHeight="1">
      <c r="A40" s="4">
        <v>38.0</v>
      </c>
      <c r="B40" s="2" t="s">
        <v>180</v>
      </c>
      <c r="C40" s="2" t="s">
        <v>181</v>
      </c>
      <c r="D40" s="3">
        <v>7.6E9</v>
      </c>
      <c r="E40" s="4" t="s">
        <v>47</v>
      </c>
      <c r="F40" s="4" t="str">
        <f>VLOOKUP(B40,Raw_Data_Collection!$B$2:$F$215,5,FALSE)</f>
        <v>N</v>
      </c>
      <c r="G40" s="3">
        <f>VLOOKUP(B40,Raw_Data_Collection!$B$2:$J$215,6,FALSE)</f>
        <v>8107000</v>
      </c>
      <c r="H40" s="5" t="s">
        <v>182</v>
      </c>
      <c r="I40" s="4">
        <v>2026.0</v>
      </c>
      <c r="J40" s="18">
        <f>VLOOKUP(B40,Raw_Data_Collection!$B$2:$J$215,9,FALSE)</f>
        <v>8107000</v>
      </c>
      <c r="K40" s="18">
        <f>VLOOKUP(B40,Real_Estate_Stats_Preferred!$A$2:$G$215,7,FALSE)</f>
        <v>8107000</v>
      </c>
      <c r="L40" s="18">
        <f t="shared" si="1"/>
        <v>7591893000</v>
      </c>
      <c r="M40" s="4">
        <v>0.37</v>
      </c>
      <c r="N40" s="4">
        <v>0.05</v>
      </c>
      <c r="O40" s="29">
        <f t="shared" si="2"/>
        <v>379594650</v>
      </c>
      <c r="P40" s="29">
        <f t="shared" si="3"/>
        <v>602531190.5</v>
      </c>
      <c r="Q40" s="29">
        <f t="shared" si="4"/>
        <v>222936540.5</v>
      </c>
      <c r="R40" s="4">
        <v>0.075</v>
      </c>
      <c r="S40" s="29">
        <f t="shared" si="5"/>
        <v>436533847.5</v>
      </c>
      <c r="T40" s="29">
        <f t="shared" si="6"/>
        <v>692910869</v>
      </c>
      <c r="U40" s="29">
        <f t="shared" si="7"/>
        <v>256377021.5</v>
      </c>
      <c r="V40" s="4">
        <v>2026.0</v>
      </c>
      <c r="W40" s="5" t="s">
        <v>182</v>
      </c>
      <c r="X40" s="6" t="s">
        <v>824</v>
      </c>
    </row>
    <row r="41" ht="14.25" customHeight="1">
      <c r="A41" s="4">
        <v>39.0</v>
      </c>
      <c r="B41" s="2" t="s">
        <v>184</v>
      </c>
      <c r="C41" s="2" t="s">
        <v>185</v>
      </c>
      <c r="D41" s="3">
        <v>7.4E9</v>
      </c>
      <c r="E41" s="2" t="s">
        <v>47</v>
      </c>
      <c r="F41" s="4" t="str">
        <f>VLOOKUP(B41,Raw_Data_Collection!$B$2:$F$215,5,FALSE)</f>
        <v>N</v>
      </c>
      <c r="G41" s="3">
        <f>VLOOKUP(B41,Raw_Data_Collection!$B$2:$J$215,6,FALSE)</f>
        <v>102000000</v>
      </c>
      <c r="H41" s="5" t="s">
        <v>186</v>
      </c>
      <c r="I41" s="4">
        <v>2014.0</v>
      </c>
      <c r="J41" s="18">
        <f>VLOOKUP(B41,Raw_Data_Collection!$B$2:$J$215,9,FALSE)</f>
        <v>179750000</v>
      </c>
      <c r="K41" s="18">
        <f>VLOOKUP(B41,Real_Estate_Stats_Preferred!$A$2:$G$215,7,FALSE)</f>
        <v>179750000</v>
      </c>
      <c r="L41" s="18">
        <f t="shared" si="1"/>
        <v>7220250000</v>
      </c>
      <c r="M41" s="4">
        <v>0.37</v>
      </c>
      <c r="N41" s="4">
        <v>0.05</v>
      </c>
      <c r="O41" s="29">
        <f t="shared" si="2"/>
        <v>361012500</v>
      </c>
      <c r="P41" s="29">
        <f t="shared" si="3"/>
        <v>573035714.3</v>
      </c>
      <c r="Q41" s="29">
        <f t="shared" si="4"/>
        <v>212023214.3</v>
      </c>
      <c r="R41" s="4">
        <v>0.075</v>
      </c>
      <c r="S41" s="29">
        <f t="shared" si="5"/>
        <v>415164375</v>
      </c>
      <c r="T41" s="29">
        <f t="shared" si="6"/>
        <v>658991071.4</v>
      </c>
      <c r="U41" s="29">
        <f t="shared" si="7"/>
        <v>243826696.4</v>
      </c>
      <c r="V41" s="4" t="s">
        <v>187</v>
      </c>
      <c r="W41" s="4" t="s">
        <v>188</v>
      </c>
    </row>
    <row r="42" ht="14.25" customHeight="1">
      <c r="A42" s="4">
        <v>40.0</v>
      </c>
      <c r="B42" s="2" t="s">
        <v>189</v>
      </c>
      <c r="C42" s="2" t="s">
        <v>190</v>
      </c>
      <c r="D42" s="3">
        <v>7.0E9</v>
      </c>
      <c r="E42" s="2" t="s">
        <v>191</v>
      </c>
      <c r="F42" s="4" t="s">
        <v>18</v>
      </c>
      <c r="G42" s="3">
        <f>VLOOKUP(B42,Raw_Data_Collection!$B$2:$J$215,6,FALSE)</f>
        <v>250000000</v>
      </c>
      <c r="H42" s="5" t="s">
        <v>192</v>
      </c>
      <c r="I42" s="4">
        <v>2024.0</v>
      </c>
      <c r="J42" s="18">
        <f>VLOOKUP(B42,Raw_Data_Collection!$B$2:$J$215,9,FALSE)</f>
        <v>250000000</v>
      </c>
      <c r="K42" s="18">
        <f>VLOOKUP(B42,Real_Estate_Stats_Preferred!$A$2:$G$215,7,FALSE)</f>
        <v>250000000</v>
      </c>
      <c r="L42" s="18">
        <f t="shared" si="1"/>
        <v>6750000000</v>
      </c>
      <c r="M42" s="4">
        <v>0.37</v>
      </c>
      <c r="N42" s="4">
        <v>0.05</v>
      </c>
      <c r="O42" s="29">
        <f t="shared" si="2"/>
        <v>337500000</v>
      </c>
      <c r="P42" s="29">
        <f t="shared" si="3"/>
        <v>535714285.7</v>
      </c>
      <c r="Q42" s="29">
        <f t="shared" si="4"/>
        <v>198214285.7</v>
      </c>
      <c r="R42" s="4">
        <v>0.075</v>
      </c>
      <c r="S42" s="29">
        <f t="shared" si="5"/>
        <v>388125000</v>
      </c>
      <c r="T42" s="29">
        <f t="shared" si="6"/>
        <v>616071428.6</v>
      </c>
      <c r="U42" s="29">
        <f t="shared" si="7"/>
        <v>227946428.6</v>
      </c>
      <c r="V42" s="4">
        <v>2024.0</v>
      </c>
      <c r="W42" s="5" t="s">
        <v>192</v>
      </c>
      <c r="X42" s="4" t="s">
        <v>193</v>
      </c>
    </row>
    <row r="43" ht="14.25" customHeight="1">
      <c r="A43" s="4">
        <v>41.0</v>
      </c>
      <c r="B43" s="2" t="s">
        <v>194</v>
      </c>
      <c r="C43" s="2" t="s">
        <v>195</v>
      </c>
      <c r="D43" s="3">
        <v>6.9E9</v>
      </c>
      <c r="E43" s="2" t="s">
        <v>47</v>
      </c>
      <c r="F43" s="4" t="str">
        <f>VLOOKUP(B43,Raw_Data_Collection!$B$2:$F$215,5,FALSE)</f>
        <v>N</v>
      </c>
      <c r="G43" s="3">
        <f>VLOOKUP(B43,Raw_Data_Collection!$B$2:$J$215,6,FALSE)</f>
        <v>13283376</v>
      </c>
      <c r="J43" s="18">
        <f>VLOOKUP(B43,Raw_Data_Collection!$B$2:$J$215,9,FALSE)</f>
        <v>13283376</v>
      </c>
      <c r="K43" s="18">
        <f>VLOOKUP(B43,Real_Estate_Stats_Preferred!$A$2:$G$215,7,FALSE)</f>
        <v>43886464.29</v>
      </c>
      <c r="L43" s="18">
        <f t="shared" si="1"/>
        <v>6856113536</v>
      </c>
      <c r="M43" s="4">
        <v>0.37</v>
      </c>
      <c r="N43" s="4">
        <v>0.05</v>
      </c>
      <c r="O43" s="29">
        <f t="shared" si="2"/>
        <v>342805676.8</v>
      </c>
      <c r="P43" s="29">
        <f t="shared" si="3"/>
        <v>544135994.9</v>
      </c>
      <c r="Q43" s="29">
        <f t="shared" si="4"/>
        <v>201330318.1</v>
      </c>
      <c r="R43" s="4">
        <v>0.075</v>
      </c>
      <c r="S43" s="29">
        <f t="shared" si="5"/>
        <v>394226528.3</v>
      </c>
      <c r="T43" s="29">
        <f t="shared" si="6"/>
        <v>625756394.1</v>
      </c>
      <c r="U43" s="29">
        <f t="shared" si="7"/>
        <v>231529865.8</v>
      </c>
    </row>
    <row r="44" ht="14.25" customHeight="1">
      <c r="A44" s="4">
        <v>42.0</v>
      </c>
      <c r="B44" s="2" t="s">
        <v>198</v>
      </c>
      <c r="C44" s="2" t="s">
        <v>195</v>
      </c>
      <c r="D44" s="3">
        <v>6.9E9</v>
      </c>
      <c r="E44" s="2" t="s">
        <v>24</v>
      </c>
      <c r="F44" s="4" t="str">
        <f>VLOOKUP(B44,Raw_Data_Collection!$B$2:$F$215,5,FALSE)</f>
        <v>N</v>
      </c>
      <c r="G44" s="3">
        <f>VLOOKUP(B44,Raw_Data_Collection!$B$2:$J$215,6,FALSE)</f>
        <v>15830193</v>
      </c>
      <c r="H44" s="5" t="s">
        <v>199</v>
      </c>
      <c r="I44" s="4">
        <v>2026.0</v>
      </c>
      <c r="J44" s="18">
        <f>VLOOKUP(B44,Raw_Data_Collection!$B$2:$J$215,9,FALSE)</f>
        <v>15830193</v>
      </c>
      <c r="K44" s="18">
        <f>VLOOKUP(B44,Real_Estate_Stats_Preferred!$A$2:$G$215,7,FALSE)</f>
        <v>15830193</v>
      </c>
      <c r="L44" s="18">
        <f t="shared" si="1"/>
        <v>6884169807</v>
      </c>
      <c r="M44" s="4">
        <v>0.37</v>
      </c>
      <c r="N44" s="4">
        <v>0.05</v>
      </c>
      <c r="O44" s="29">
        <f t="shared" si="2"/>
        <v>344208490.4</v>
      </c>
      <c r="P44" s="29">
        <f t="shared" si="3"/>
        <v>546362683.1</v>
      </c>
      <c r="Q44" s="29">
        <f t="shared" si="4"/>
        <v>202154192.7</v>
      </c>
      <c r="R44" s="4">
        <v>0.075</v>
      </c>
      <c r="S44" s="29">
        <f t="shared" si="5"/>
        <v>395839763.9</v>
      </c>
      <c r="T44" s="29">
        <f t="shared" si="6"/>
        <v>628317085.6</v>
      </c>
      <c r="U44" s="29">
        <f t="shared" si="7"/>
        <v>232477321.7</v>
      </c>
      <c r="V44" s="4">
        <v>2026.0</v>
      </c>
      <c r="W44" s="5" t="s">
        <v>199</v>
      </c>
      <c r="X44" s="7" t="s">
        <v>825</v>
      </c>
    </row>
    <row r="45" ht="14.25" customHeight="1">
      <c r="A45" s="4">
        <v>43.0</v>
      </c>
      <c r="B45" s="2" t="s">
        <v>201</v>
      </c>
      <c r="C45" s="2" t="s">
        <v>202</v>
      </c>
      <c r="D45" s="3">
        <v>6.7E9</v>
      </c>
      <c r="E45" s="2" t="s">
        <v>17</v>
      </c>
      <c r="F45" s="4" t="str">
        <f>VLOOKUP(B45,Raw_Data_Collection!$B$2:$F$215,5,FALSE)</f>
        <v>N</v>
      </c>
      <c r="G45" s="3" t="str">
        <f>VLOOKUP(B45,Raw_Data_Collection!$B$2:$J$215,6,FALSE)</f>
        <v/>
      </c>
      <c r="J45" s="2" t="str">
        <f>VLOOKUP(B45,Raw_Data_Collection!$B$2:$J$215,9,FALSE)</f>
        <v/>
      </c>
      <c r="K45" s="18">
        <f>VLOOKUP(B45,Real_Estate_Stats_Preferred!$A$2:$G$215,7,FALSE)</f>
        <v>42614392.86</v>
      </c>
      <c r="L45" s="18">
        <f t="shared" si="1"/>
        <v>6657385607</v>
      </c>
      <c r="M45" s="4">
        <v>0.37</v>
      </c>
      <c r="N45" s="4">
        <v>0.05</v>
      </c>
      <c r="O45" s="29">
        <f t="shared" si="2"/>
        <v>332869280.4</v>
      </c>
      <c r="P45" s="29">
        <f t="shared" si="3"/>
        <v>528363937.1</v>
      </c>
      <c r="Q45" s="29">
        <f t="shared" si="4"/>
        <v>195494656.7</v>
      </c>
      <c r="R45" s="4">
        <v>0.075</v>
      </c>
      <c r="S45" s="29">
        <f t="shared" si="5"/>
        <v>382799672.4</v>
      </c>
      <c r="T45" s="29">
        <f t="shared" si="6"/>
        <v>607618527.6</v>
      </c>
      <c r="U45" s="29">
        <f t="shared" si="7"/>
        <v>224818855.2</v>
      </c>
    </row>
    <row r="46" ht="14.25" customHeight="1">
      <c r="A46" s="4">
        <v>44.0</v>
      </c>
      <c r="B46" s="2" t="s">
        <v>203</v>
      </c>
      <c r="C46" s="2" t="s">
        <v>204</v>
      </c>
      <c r="D46" s="3">
        <v>6.4E9</v>
      </c>
      <c r="E46" s="2" t="s">
        <v>17</v>
      </c>
      <c r="F46" s="4" t="str">
        <f>VLOOKUP(B46,Raw_Data_Collection!$B$2:$F$215,5,FALSE)</f>
        <v>N</v>
      </c>
      <c r="G46" s="3" t="str">
        <f>VLOOKUP(B46,Raw_Data_Collection!$B$2:$J$215,6,FALSE)</f>
        <v/>
      </c>
      <c r="J46" s="2" t="str">
        <f>VLOOKUP(B46,Raw_Data_Collection!$B$2:$J$215,9,FALSE)</f>
        <v/>
      </c>
      <c r="K46" s="18">
        <f>VLOOKUP(B46,Real_Estate_Stats_Preferred!$A$2:$G$215,7,FALSE)</f>
        <v>40706285.71</v>
      </c>
      <c r="L46" s="18">
        <f t="shared" si="1"/>
        <v>6359293714</v>
      </c>
      <c r="M46" s="4">
        <v>0.37</v>
      </c>
      <c r="N46" s="4">
        <v>0.05</v>
      </c>
      <c r="O46" s="29">
        <f t="shared" si="2"/>
        <v>317964685.7</v>
      </c>
      <c r="P46" s="29">
        <f t="shared" si="3"/>
        <v>504705850.3</v>
      </c>
      <c r="Q46" s="29">
        <f t="shared" si="4"/>
        <v>186741164.6</v>
      </c>
      <c r="R46" s="4">
        <v>0.075</v>
      </c>
      <c r="S46" s="29">
        <f t="shared" si="5"/>
        <v>365659388.6</v>
      </c>
      <c r="T46" s="29">
        <f t="shared" si="6"/>
        <v>580411727.9</v>
      </c>
      <c r="U46" s="29">
        <f t="shared" si="7"/>
        <v>214752339.3</v>
      </c>
    </row>
    <row r="47" ht="14.25" customHeight="1">
      <c r="A47" s="4">
        <v>45.0</v>
      </c>
      <c r="B47" s="2" t="s">
        <v>205</v>
      </c>
      <c r="C47" s="2" t="s">
        <v>204</v>
      </c>
      <c r="D47" s="3">
        <v>6.4E9</v>
      </c>
      <c r="E47" s="2" t="s">
        <v>90</v>
      </c>
      <c r="F47" s="4" t="str">
        <f>VLOOKUP(B47,Raw_Data_Collection!$B$2:$F$215,5,FALSE)</f>
        <v>N</v>
      </c>
      <c r="G47" s="3" t="str">
        <f>VLOOKUP(B47,Raw_Data_Collection!$B$2:$J$215,6,FALSE)</f>
        <v/>
      </c>
      <c r="J47" s="2" t="str">
        <f>VLOOKUP(B47,Raw_Data_Collection!$B$2:$J$215,9,FALSE)</f>
        <v/>
      </c>
      <c r="K47" s="18">
        <f>VLOOKUP(B47,Real_Estate_Stats_Preferred!$A$2:$G$215,7,FALSE)</f>
        <v>40706285.71</v>
      </c>
      <c r="L47" s="18">
        <f t="shared" si="1"/>
        <v>6359293714</v>
      </c>
      <c r="M47" s="4">
        <v>0.37</v>
      </c>
      <c r="N47" s="4">
        <v>0.05</v>
      </c>
      <c r="O47" s="29">
        <f t="shared" si="2"/>
        <v>317964685.7</v>
      </c>
      <c r="P47" s="29">
        <f t="shared" si="3"/>
        <v>504705850.3</v>
      </c>
      <c r="Q47" s="29">
        <f t="shared" si="4"/>
        <v>186741164.6</v>
      </c>
      <c r="R47" s="4">
        <v>0.075</v>
      </c>
      <c r="S47" s="29">
        <f t="shared" si="5"/>
        <v>365659388.6</v>
      </c>
      <c r="T47" s="29">
        <f t="shared" si="6"/>
        <v>580411727.9</v>
      </c>
      <c r="U47" s="29">
        <f t="shared" si="7"/>
        <v>214752339.3</v>
      </c>
      <c r="Y47" s="5" t="s">
        <v>179</v>
      </c>
    </row>
    <row r="48" ht="14.25" customHeight="1">
      <c r="A48" s="4">
        <v>46.0</v>
      </c>
      <c r="B48" s="2" t="s">
        <v>206</v>
      </c>
      <c r="C48" s="2" t="s">
        <v>207</v>
      </c>
      <c r="D48" s="3">
        <v>6.3E9</v>
      </c>
      <c r="E48" s="2" t="s">
        <v>17</v>
      </c>
      <c r="F48" s="4" t="str">
        <f>VLOOKUP(B48,Raw_Data_Collection!$B$2:$F$215,5,FALSE)</f>
        <v>N</v>
      </c>
      <c r="G48" s="3">
        <f>VLOOKUP(B48,Raw_Data_Collection!$B$2:$J$215,6,FALSE)</f>
        <v>1031715</v>
      </c>
      <c r="H48" s="5" t="s">
        <v>208</v>
      </c>
      <c r="I48" s="4">
        <v>2026.0</v>
      </c>
      <c r="J48" s="2" t="str">
        <f>VLOOKUP(B48,Raw_Data_Collection!$B$2:$J$215,9,FALSE)</f>
        <v/>
      </c>
      <c r="K48" s="18">
        <f>VLOOKUP(B48,Real_Estate_Stats_Preferred!$A$2:$G$215,7,FALSE)</f>
        <v>1031715</v>
      </c>
      <c r="L48" s="18">
        <f t="shared" si="1"/>
        <v>6298968285</v>
      </c>
      <c r="M48" s="4">
        <v>0.37</v>
      </c>
      <c r="N48" s="4">
        <v>0.05</v>
      </c>
      <c r="O48" s="29">
        <f t="shared" si="2"/>
        <v>314948414.3</v>
      </c>
      <c r="P48" s="29">
        <f t="shared" si="3"/>
        <v>499918117.9</v>
      </c>
      <c r="Q48" s="29">
        <f t="shared" si="4"/>
        <v>184969703.6</v>
      </c>
      <c r="R48" s="4">
        <v>0.075</v>
      </c>
      <c r="S48" s="29">
        <f t="shared" si="5"/>
        <v>362190676.4</v>
      </c>
      <c r="T48" s="29">
        <f t="shared" si="6"/>
        <v>574905835.5</v>
      </c>
      <c r="U48" s="29">
        <f t="shared" si="7"/>
        <v>212715159.1</v>
      </c>
      <c r="V48" s="4"/>
      <c r="W48" s="12"/>
      <c r="X48" s="7" t="s">
        <v>826</v>
      </c>
    </row>
    <row r="49" ht="14.25" customHeight="1">
      <c r="A49" s="4">
        <v>47.0</v>
      </c>
      <c r="B49" s="2" t="s">
        <v>210</v>
      </c>
      <c r="C49" s="2" t="s">
        <v>211</v>
      </c>
      <c r="D49" s="3">
        <v>5.9E9</v>
      </c>
      <c r="E49" s="2" t="s">
        <v>47</v>
      </c>
      <c r="F49" s="4" t="str">
        <f>VLOOKUP(B49,Raw_Data_Collection!$B$2:$F$215,5,FALSE)</f>
        <v>N</v>
      </c>
      <c r="G49" s="3">
        <f>VLOOKUP(B49,Raw_Data_Collection!$B$2:$J$215,6,FALSE)</f>
        <v>80000000</v>
      </c>
      <c r="H49" s="5" t="s">
        <v>212</v>
      </c>
      <c r="I49" s="4">
        <v>2025.0</v>
      </c>
      <c r="J49" s="18">
        <f>VLOOKUP(B49,Raw_Data_Collection!$B$2:$J$215,9,FALSE)</f>
        <v>86500000</v>
      </c>
      <c r="K49" s="18">
        <f>VLOOKUP(B49,Real_Estate_Stats_Preferred!$A$2:$G$215,7,FALSE)</f>
        <v>86500000</v>
      </c>
      <c r="L49" s="18">
        <f t="shared" si="1"/>
        <v>5813500000</v>
      </c>
      <c r="M49" s="4">
        <v>0.37</v>
      </c>
      <c r="N49" s="4">
        <v>0.05</v>
      </c>
      <c r="O49" s="29">
        <f t="shared" si="2"/>
        <v>290675000</v>
      </c>
      <c r="P49" s="29">
        <f t="shared" si="3"/>
        <v>461388888.9</v>
      </c>
      <c r="Q49" s="29">
        <f t="shared" si="4"/>
        <v>170713888.9</v>
      </c>
      <c r="R49" s="4">
        <v>0.075</v>
      </c>
      <c r="S49" s="29">
        <f t="shared" si="5"/>
        <v>334276250</v>
      </c>
      <c r="T49" s="29">
        <f t="shared" si="6"/>
        <v>530597222.2</v>
      </c>
      <c r="U49" s="29">
        <f t="shared" si="7"/>
        <v>196320972.2</v>
      </c>
      <c r="V49" s="4" t="s">
        <v>213</v>
      </c>
      <c r="W49" s="6" t="s">
        <v>214</v>
      </c>
      <c r="X49" s="4" t="s">
        <v>215</v>
      </c>
    </row>
    <row r="50" ht="14.25" customHeight="1">
      <c r="A50" s="4">
        <v>48.0</v>
      </c>
      <c r="B50" s="2" t="s">
        <v>216</v>
      </c>
      <c r="C50" s="2" t="s">
        <v>217</v>
      </c>
      <c r="D50" s="3">
        <v>5.7E9</v>
      </c>
      <c r="E50" s="2" t="s">
        <v>218</v>
      </c>
      <c r="F50" s="4" t="str">
        <f>VLOOKUP(B50,Raw_Data_Collection!$B$2:$F$215,5,FALSE)</f>
        <v>N</v>
      </c>
      <c r="G50" s="3">
        <f>VLOOKUP(B50,Raw_Data_Collection!$B$2:$J$215,6,FALSE)</f>
        <v>18104324</v>
      </c>
      <c r="J50" s="18">
        <f>VLOOKUP(B50,Raw_Data_Collection!$B$2:$J$215,9,FALSE)</f>
        <v>14340561</v>
      </c>
      <c r="K50" s="18">
        <f>VLOOKUP(B50,Real_Estate_Stats_Preferred!$A$2:$G$215,7,FALSE)</f>
        <v>14340561</v>
      </c>
      <c r="L50" s="18">
        <f t="shared" si="1"/>
        <v>5685659439</v>
      </c>
      <c r="M50" s="4">
        <v>0.37</v>
      </c>
      <c r="N50" s="4">
        <v>0.05</v>
      </c>
      <c r="O50" s="29">
        <f t="shared" si="2"/>
        <v>284282972</v>
      </c>
      <c r="P50" s="29">
        <f t="shared" si="3"/>
        <v>451242812.6</v>
      </c>
      <c r="Q50" s="29">
        <f t="shared" si="4"/>
        <v>166959840.7</v>
      </c>
      <c r="R50" s="4">
        <v>0.075</v>
      </c>
      <c r="S50" s="29">
        <f t="shared" si="5"/>
        <v>326925417.7</v>
      </c>
      <c r="T50" s="29">
        <f t="shared" si="6"/>
        <v>518929234.5</v>
      </c>
      <c r="U50" s="29">
        <f t="shared" si="7"/>
        <v>192003816.8</v>
      </c>
      <c r="V50" s="4" t="s">
        <v>220</v>
      </c>
      <c r="W50" s="4" t="s">
        <v>221</v>
      </c>
    </row>
    <row r="51" ht="14.25" customHeight="1">
      <c r="A51" s="4">
        <v>49.0</v>
      </c>
      <c r="B51" s="2" t="s">
        <v>222</v>
      </c>
      <c r="C51" s="2" t="s">
        <v>223</v>
      </c>
      <c r="D51" s="3">
        <v>5.6E9</v>
      </c>
      <c r="E51" s="2" t="s">
        <v>224</v>
      </c>
      <c r="F51" s="4" t="str">
        <f>VLOOKUP(B51,Raw_Data_Collection!$B$2:$F$215,5,FALSE)</f>
        <v>N</v>
      </c>
      <c r="G51" s="3">
        <f>VLOOKUP(B51,Raw_Data_Collection!$B$2:$J$215,6,FALSE)</f>
        <v>877000</v>
      </c>
      <c r="H51" s="5" t="s">
        <v>225</v>
      </c>
      <c r="I51" s="4">
        <v>2026.0</v>
      </c>
      <c r="J51" s="18">
        <f>VLOOKUP(B51,Raw_Data_Collection!$B$2:$J$215,9,FALSE)</f>
        <v>7862000</v>
      </c>
      <c r="K51" s="18">
        <f>VLOOKUP(B51,Real_Estate_Stats_Preferred!$A$2:$G$215,7,FALSE)</f>
        <v>7862000</v>
      </c>
      <c r="L51" s="18">
        <f t="shared" si="1"/>
        <v>5592138000</v>
      </c>
      <c r="M51" s="4">
        <v>0.37</v>
      </c>
      <c r="N51" s="4">
        <v>0.05</v>
      </c>
      <c r="O51" s="29">
        <f t="shared" si="2"/>
        <v>279606900</v>
      </c>
      <c r="P51" s="29">
        <f t="shared" si="3"/>
        <v>443820476.2</v>
      </c>
      <c r="Q51" s="29">
        <f t="shared" si="4"/>
        <v>164213576.2</v>
      </c>
      <c r="R51" s="4">
        <v>0.075</v>
      </c>
      <c r="S51" s="29">
        <f t="shared" si="5"/>
        <v>321547935</v>
      </c>
      <c r="T51" s="29">
        <f t="shared" si="6"/>
        <v>510393547.6</v>
      </c>
      <c r="U51" s="29">
        <f t="shared" si="7"/>
        <v>188845612.6</v>
      </c>
      <c r="V51" s="4">
        <v>2026.0</v>
      </c>
      <c r="W51" s="4" t="s">
        <v>226</v>
      </c>
      <c r="X51" s="10" t="s">
        <v>827</v>
      </c>
    </row>
    <row r="52" ht="14.25" customHeight="1">
      <c r="A52" s="4">
        <v>50.0</v>
      </c>
      <c r="B52" s="2" t="s">
        <v>228</v>
      </c>
      <c r="C52" s="2" t="s">
        <v>223</v>
      </c>
      <c r="D52" s="3">
        <v>5.6E9</v>
      </c>
      <c r="E52" s="2" t="s">
        <v>229</v>
      </c>
      <c r="F52" s="4" t="str">
        <f>VLOOKUP(B52,Raw_Data_Collection!$B$2:$F$215,5,FALSE)</f>
        <v>N</v>
      </c>
      <c r="G52" s="3">
        <f>VLOOKUP(B52,Raw_Data_Collection!$B$2:$J$215,6,FALSE)</f>
        <v>4101800</v>
      </c>
      <c r="J52" s="18">
        <f>VLOOKUP(B52,Raw_Data_Collection!$B$2:$J$215,9,FALSE)</f>
        <v>4101800</v>
      </c>
      <c r="K52" s="18">
        <f>VLOOKUP(B52,Real_Estate_Stats_Preferred!$A$2:$G$215,7,FALSE)</f>
        <v>35618000</v>
      </c>
      <c r="L52" s="18">
        <f t="shared" si="1"/>
        <v>5564382000</v>
      </c>
      <c r="M52" s="4">
        <v>0.37</v>
      </c>
      <c r="N52" s="4">
        <v>0.05</v>
      </c>
      <c r="O52" s="29">
        <f t="shared" si="2"/>
        <v>278219100</v>
      </c>
      <c r="P52" s="29">
        <f t="shared" si="3"/>
        <v>441617619</v>
      </c>
      <c r="Q52" s="29">
        <f t="shared" si="4"/>
        <v>163398519</v>
      </c>
      <c r="R52" s="4">
        <v>0.075</v>
      </c>
      <c r="S52" s="29">
        <f t="shared" si="5"/>
        <v>319951965</v>
      </c>
      <c r="T52" s="29">
        <f t="shared" si="6"/>
        <v>507860261.9</v>
      </c>
      <c r="U52" s="29">
        <f t="shared" si="7"/>
        <v>187908296.9</v>
      </c>
    </row>
    <row r="53" ht="14.25" customHeight="1">
      <c r="A53" s="4">
        <v>51.0</v>
      </c>
      <c r="B53" s="2" t="s">
        <v>232</v>
      </c>
      <c r="C53" s="2" t="s">
        <v>233</v>
      </c>
      <c r="D53" s="3">
        <v>5.5E9</v>
      </c>
      <c r="E53" s="2" t="s">
        <v>17</v>
      </c>
      <c r="F53" s="4" t="str">
        <f>VLOOKUP(B53,Raw_Data_Collection!$B$2:$F$215,5,FALSE)</f>
        <v>N</v>
      </c>
      <c r="G53" s="3">
        <f>VLOOKUP(B53,Raw_Data_Collection!$B$2:$J$215,6,FALSE)</f>
        <v>13169940</v>
      </c>
      <c r="J53" s="18">
        <f>VLOOKUP(B53,Raw_Data_Collection!$B$2:$J$215,9,FALSE)</f>
        <v>13169940</v>
      </c>
      <c r="K53" s="18">
        <f>VLOOKUP(B53,Real_Estate_Stats_Preferred!$A$2:$G$215,7,FALSE)</f>
        <v>34981964.29</v>
      </c>
      <c r="L53" s="18">
        <f t="shared" si="1"/>
        <v>5465018036</v>
      </c>
      <c r="M53" s="4">
        <v>0.37</v>
      </c>
      <c r="N53" s="4">
        <v>0.05</v>
      </c>
      <c r="O53" s="29">
        <f t="shared" si="2"/>
        <v>273250901.8</v>
      </c>
      <c r="P53" s="29">
        <f t="shared" si="3"/>
        <v>433731590.1</v>
      </c>
      <c r="Q53" s="29">
        <f t="shared" si="4"/>
        <v>160480688.4</v>
      </c>
      <c r="R53" s="4">
        <v>0.075</v>
      </c>
      <c r="S53" s="29">
        <f t="shared" si="5"/>
        <v>314238537.1</v>
      </c>
      <c r="T53" s="29">
        <f t="shared" si="6"/>
        <v>498791328.7</v>
      </c>
      <c r="U53" s="29">
        <f t="shared" si="7"/>
        <v>184552791.6</v>
      </c>
    </row>
    <row r="54" ht="14.25" customHeight="1">
      <c r="A54" s="4">
        <v>52.0</v>
      </c>
      <c r="B54" s="2" t="s">
        <v>236</v>
      </c>
      <c r="C54" s="2" t="s">
        <v>237</v>
      </c>
      <c r="D54" s="3">
        <v>5.4E9</v>
      </c>
      <c r="E54" s="2" t="s">
        <v>238</v>
      </c>
      <c r="F54" s="4" t="str">
        <f>VLOOKUP(B54,Raw_Data_Collection!$B$2:$F$215,5,FALSE)</f>
        <v>N</v>
      </c>
      <c r="G54" s="3" t="str">
        <f>VLOOKUP(B54,Raw_Data_Collection!$B$2:$J$215,6,FALSE)</f>
        <v/>
      </c>
      <c r="J54" s="2" t="str">
        <f>VLOOKUP(B54,Raw_Data_Collection!$B$2:$J$215,9,FALSE)</f>
        <v/>
      </c>
      <c r="K54" s="18">
        <f>VLOOKUP(B54,Real_Estate_Stats_Preferred!$A$2:$G$215,7,FALSE)</f>
        <v>34345928.57</v>
      </c>
      <c r="L54" s="18">
        <f t="shared" si="1"/>
        <v>5365654071</v>
      </c>
      <c r="M54" s="4">
        <v>0.37</v>
      </c>
      <c r="N54" s="4">
        <v>0.05</v>
      </c>
      <c r="O54" s="29">
        <f t="shared" si="2"/>
        <v>268282703.6</v>
      </c>
      <c r="P54" s="29">
        <f t="shared" si="3"/>
        <v>425845561.2</v>
      </c>
      <c r="Q54" s="29">
        <f t="shared" si="4"/>
        <v>157562857.7</v>
      </c>
      <c r="R54" s="4">
        <v>0.075</v>
      </c>
      <c r="S54" s="29">
        <f t="shared" si="5"/>
        <v>308525109.1</v>
      </c>
      <c r="T54" s="29">
        <f t="shared" si="6"/>
        <v>489722395.4</v>
      </c>
      <c r="U54" s="29">
        <f t="shared" si="7"/>
        <v>181197286.3</v>
      </c>
    </row>
    <row r="55" ht="14.25" customHeight="1">
      <c r="A55" s="4">
        <v>53.0</v>
      </c>
      <c r="B55" s="2" t="s">
        <v>239</v>
      </c>
      <c r="C55" s="2" t="s">
        <v>237</v>
      </c>
      <c r="D55" s="3">
        <v>5.4E9</v>
      </c>
      <c r="E55" s="2" t="s">
        <v>100</v>
      </c>
      <c r="F55" s="4" t="str">
        <f>VLOOKUP(B55,Raw_Data_Collection!$B$2:$F$215,5,FALSE)</f>
        <v>N</v>
      </c>
      <c r="G55" s="3">
        <f>VLOOKUP(B55,Raw_Data_Collection!$B$2:$J$215,6,FALSE)</f>
        <v>29608760</v>
      </c>
      <c r="H55" s="13" t="s">
        <v>240</v>
      </c>
      <c r="I55" s="4">
        <v>2026.0</v>
      </c>
      <c r="J55" s="18">
        <f>VLOOKUP(B55,Raw_Data_Collection!$B$2:$J$215,9,FALSE)</f>
        <v>29608760</v>
      </c>
      <c r="K55" s="18">
        <f>VLOOKUP(B55,Real_Estate_Stats_Preferred!$A$2:$G$215,7,FALSE)</f>
        <v>29608760</v>
      </c>
      <c r="L55" s="18">
        <f t="shared" si="1"/>
        <v>5370391240</v>
      </c>
      <c r="M55" s="4">
        <v>0.37</v>
      </c>
      <c r="N55" s="4">
        <v>0.05</v>
      </c>
      <c r="O55" s="29">
        <f t="shared" si="2"/>
        <v>268519562</v>
      </c>
      <c r="P55" s="29">
        <f t="shared" si="3"/>
        <v>426221527</v>
      </c>
      <c r="Q55" s="29">
        <f t="shared" si="4"/>
        <v>157701965</v>
      </c>
      <c r="R55" s="4">
        <v>0.075</v>
      </c>
      <c r="S55" s="29">
        <f t="shared" si="5"/>
        <v>308797496.3</v>
      </c>
      <c r="T55" s="29">
        <f t="shared" si="6"/>
        <v>490154756</v>
      </c>
      <c r="U55" s="29">
        <f t="shared" si="7"/>
        <v>181357259.7</v>
      </c>
      <c r="V55" s="4">
        <v>2026.0</v>
      </c>
      <c r="W55" s="8" t="s">
        <v>240</v>
      </c>
      <c r="X55" s="7" t="s">
        <v>828</v>
      </c>
    </row>
    <row r="56" ht="14.25" customHeight="1">
      <c r="A56" s="4">
        <v>54.0</v>
      </c>
      <c r="B56" s="2" t="s">
        <v>242</v>
      </c>
      <c r="C56" s="2" t="s">
        <v>237</v>
      </c>
      <c r="D56" s="3">
        <v>5.4E9</v>
      </c>
      <c r="E56" s="2" t="s">
        <v>47</v>
      </c>
      <c r="F56" s="4" t="str">
        <f>VLOOKUP(B56,Raw_Data_Collection!$B$2:$F$215,5,FALSE)</f>
        <v>N</v>
      </c>
      <c r="G56" s="3">
        <f>VLOOKUP(B56,Raw_Data_Collection!$B$2:$J$215,6,FALSE)</f>
        <v>30000000</v>
      </c>
      <c r="H56" s="5" t="s">
        <v>243</v>
      </c>
      <c r="I56" s="4">
        <v>2014.0</v>
      </c>
      <c r="J56" s="18">
        <f>VLOOKUP(B56,Raw_Data_Collection!$B$2:$J$215,9,FALSE)</f>
        <v>162500000</v>
      </c>
      <c r="K56" s="18">
        <f>VLOOKUP(B56,Real_Estate_Stats_Preferred!$A$2:$G$215,7,FALSE)</f>
        <v>162500000</v>
      </c>
      <c r="L56" s="18">
        <f t="shared" si="1"/>
        <v>5237500000</v>
      </c>
      <c r="M56" s="4">
        <v>0.37</v>
      </c>
      <c r="N56" s="4">
        <v>0.05</v>
      </c>
      <c r="O56" s="29">
        <f t="shared" si="2"/>
        <v>261875000</v>
      </c>
      <c r="P56" s="29">
        <f t="shared" si="3"/>
        <v>415674603.2</v>
      </c>
      <c r="Q56" s="29">
        <f t="shared" si="4"/>
        <v>153799603.2</v>
      </c>
      <c r="R56" s="4">
        <v>0.075</v>
      </c>
      <c r="S56" s="29">
        <f t="shared" si="5"/>
        <v>301156250</v>
      </c>
      <c r="T56" s="29">
        <f t="shared" si="6"/>
        <v>478025793.7</v>
      </c>
      <c r="U56" s="29">
        <f t="shared" si="7"/>
        <v>176869543.7</v>
      </c>
      <c r="V56" s="4" t="s">
        <v>244</v>
      </c>
      <c r="W56" s="4" t="s">
        <v>245</v>
      </c>
      <c r="X56" s="7" t="s">
        <v>829</v>
      </c>
    </row>
    <row r="57" ht="14.25" customHeight="1">
      <c r="A57" s="4">
        <v>55.0</v>
      </c>
      <c r="B57" s="2" t="s">
        <v>247</v>
      </c>
      <c r="C57" s="2" t="s">
        <v>237</v>
      </c>
      <c r="D57" s="3">
        <v>5.4E9</v>
      </c>
      <c r="E57" s="2" t="s">
        <v>47</v>
      </c>
      <c r="F57" s="4" t="str">
        <f>VLOOKUP(B57,Raw_Data_Collection!$B$2:$F$215,5,FALSE)</f>
        <v>N</v>
      </c>
      <c r="G57" s="3" t="str">
        <f>VLOOKUP(B57,Raw_Data_Collection!$B$2:$J$215,6,FALSE)</f>
        <v/>
      </c>
      <c r="J57" s="2" t="str">
        <f>VLOOKUP(B57,Raw_Data_Collection!$B$2:$J$215,9,FALSE)</f>
        <v/>
      </c>
      <c r="K57" s="18">
        <f>VLOOKUP(B57,Real_Estate_Stats_Preferred!$A$2:$G$215,7,FALSE)</f>
        <v>34345928.57</v>
      </c>
      <c r="L57" s="18">
        <f t="shared" si="1"/>
        <v>5365654071</v>
      </c>
      <c r="M57" s="4">
        <v>0.37</v>
      </c>
      <c r="N57" s="4">
        <v>0.05</v>
      </c>
      <c r="O57" s="29">
        <f t="shared" si="2"/>
        <v>268282703.6</v>
      </c>
      <c r="P57" s="29">
        <f t="shared" si="3"/>
        <v>425845561.2</v>
      </c>
      <c r="Q57" s="29">
        <f t="shared" si="4"/>
        <v>157562857.7</v>
      </c>
      <c r="R57" s="4">
        <v>0.075</v>
      </c>
      <c r="S57" s="29">
        <f t="shared" si="5"/>
        <v>308525109.1</v>
      </c>
      <c r="T57" s="29">
        <f t="shared" si="6"/>
        <v>489722395.4</v>
      </c>
      <c r="U57" s="29">
        <f t="shared" si="7"/>
        <v>181197286.3</v>
      </c>
    </row>
    <row r="58" ht="14.25" customHeight="1">
      <c r="A58" s="4">
        <v>56.0</v>
      </c>
      <c r="B58" s="2" t="s">
        <v>248</v>
      </c>
      <c r="C58" s="2" t="s">
        <v>249</v>
      </c>
      <c r="D58" s="3">
        <v>5.3E9</v>
      </c>
      <c r="E58" s="2" t="s">
        <v>80</v>
      </c>
      <c r="F58" s="4" t="str">
        <f>VLOOKUP(B58,Raw_Data_Collection!$B$2:$F$215,5,FALSE)</f>
        <v>N</v>
      </c>
      <c r="G58" s="3">
        <f>VLOOKUP(B58,Raw_Data_Collection!$B$2:$J$215,6,FALSE)</f>
        <v>17115689</v>
      </c>
      <c r="H58" s="5" t="s">
        <v>250</v>
      </c>
      <c r="I58" s="4">
        <v>2026.0</v>
      </c>
      <c r="J58" s="18">
        <f>VLOOKUP(B58,Raw_Data_Collection!$B$2:$J$215,9,FALSE)</f>
        <v>17115689</v>
      </c>
      <c r="K58" s="18">
        <f>VLOOKUP(B58,Real_Estate_Stats_Preferred!$A$2:$G$215,7,FALSE)</f>
        <v>17115689</v>
      </c>
      <c r="L58" s="18">
        <f t="shared" si="1"/>
        <v>5282884311</v>
      </c>
      <c r="M58" s="4">
        <v>0.37</v>
      </c>
      <c r="N58" s="4">
        <v>0.05</v>
      </c>
      <c r="O58" s="29">
        <f t="shared" si="2"/>
        <v>264144215.6</v>
      </c>
      <c r="P58" s="29">
        <f t="shared" si="3"/>
        <v>419276532.6</v>
      </c>
      <c r="Q58" s="29">
        <f t="shared" si="4"/>
        <v>155132317.1</v>
      </c>
      <c r="R58" s="4">
        <v>0.075</v>
      </c>
      <c r="S58" s="29">
        <f t="shared" si="5"/>
        <v>303765847.9</v>
      </c>
      <c r="T58" s="29">
        <f t="shared" si="6"/>
        <v>482168012.5</v>
      </c>
      <c r="U58" s="29">
        <f t="shared" si="7"/>
        <v>178402164.6</v>
      </c>
      <c r="V58" s="4">
        <v>2026.0</v>
      </c>
      <c r="W58" s="5" t="s">
        <v>250</v>
      </c>
      <c r="X58" s="7" t="s">
        <v>830</v>
      </c>
    </row>
    <row r="59" ht="14.25" customHeight="1">
      <c r="A59" s="4">
        <v>57.0</v>
      </c>
      <c r="B59" s="2" t="s">
        <v>252</v>
      </c>
      <c r="C59" s="2" t="s">
        <v>249</v>
      </c>
      <c r="D59" s="3">
        <v>5.3E9</v>
      </c>
      <c r="E59" s="2" t="s">
        <v>80</v>
      </c>
      <c r="F59" s="4" t="str">
        <f>VLOOKUP(B59,Raw_Data_Collection!$B$2:$F$215,5,FALSE)</f>
        <v>N</v>
      </c>
      <c r="G59" s="3">
        <f>VLOOKUP(B59,Raw_Data_Collection!$B$2:$J$215,6,FALSE)</f>
        <v>17115689</v>
      </c>
      <c r="H59" s="5" t="s">
        <v>250</v>
      </c>
      <c r="I59" s="4">
        <v>2026.0</v>
      </c>
      <c r="J59" s="18">
        <f>VLOOKUP(B59,Raw_Data_Collection!$B$2:$J$215,9,FALSE)</f>
        <v>17115689</v>
      </c>
      <c r="K59" s="18">
        <f>VLOOKUP(B59,Real_Estate_Stats_Preferred!$A$2:$G$215,7,FALSE)</f>
        <v>17115689</v>
      </c>
      <c r="L59" s="18">
        <f t="shared" si="1"/>
        <v>5282884311</v>
      </c>
      <c r="M59" s="4">
        <v>0.37</v>
      </c>
      <c r="N59" s="4">
        <v>0.05</v>
      </c>
      <c r="O59" s="29">
        <f t="shared" si="2"/>
        <v>264144215.6</v>
      </c>
      <c r="P59" s="29">
        <f t="shared" si="3"/>
        <v>419276532.6</v>
      </c>
      <c r="Q59" s="29">
        <f t="shared" si="4"/>
        <v>155132317.1</v>
      </c>
      <c r="R59" s="4">
        <v>0.075</v>
      </c>
      <c r="S59" s="29">
        <f t="shared" si="5"/>
        <v>303765847.9</v>
      </c>
      <c r="T59" s="29">
        <f t="shared" si="6"/>
        <v>482168012.5</v>
      </c>
      <c r="U59" s="29">
        <f t="shared" si="7"/>
        <v>178402164.6</v>
      </c>
      <c r="V59" s="4">
        <v>2026.0</v>
      </c>
      <c r="W59" s="5" t="s">
        <v>250</v>
      </c>
      <c r="X59" s="12" t="s">
        <v>253</v>
      </c>
    </row>
    <row r="60" ht="14.25" customHeight="1">
      <c r="A60" s="4">
        <v>58.0</v>
      </c>
      <c r="B60" s="2" t="s">
        <v>254</v>
      </c>
      <c r="C60" s="2" t="s">
        <v>249</v>
      </c>
      <c r="D60" s="3">
        <v>5.3E9</v>
      </c>
      <c r="E60" s="2" t="s">
        <v>17</v>
      </c>
      <c r="F60" s="4" t="str">
        <f>VLOOKUP(B60,Raw_Data_Collection!$B$2:$F$215,5,FALSE)</f>
        <v>N</v>
      </c>
      <c r="G60" s="3" t="str">
        <f>VLOOKUP(B60,Raw_Data_Collection!$B$2:$J$215,6,FALSE)</f>
        <v/>
      </c>
      <c r="J60" s="2" t="str">
        <f>VLOOKUP(B60,Raw_Data_Collection!$B$2:$J$215,9,FALSE)</f>
        <v/>
      </c>
      <c r="K60" s="18">
        <f>VLOOKUP(B60,Real_Estate_Stats_Preferred!$A$2:$G$215,7,FALSE)</f>
        <v>33709892.86</v>
      </c>
      <c r="L60" s="18">
        <f t="shared" si="1"/>
        <v>5266290107</v>
      </c>
      <c r="M60" s="4">
        <v>0.37</v>
      </c>
      <c r="N60" s="4">
        <v>0.05</v>
      </c>
      <c r="O60" s="29">
        <f t="shared" si="2"/>
        <v>263314505.4</v>
      </c>
      <c r="P60" s="29">
        <f t="shared" si="3"/>
        <v>417959532.3</v>
      </c>
      <c r="Q60" s="29">
        <f t="shared" si="4"/>
        <v>154645027</v>
      </c>
      <c r="R60" s="4">
        <v>0.075</v>
      </c>
      <c r="S60" s="29">
        <f t="shared" si="5"/>
        <v>302811681.2</v>
      </c>
      <c r="T60" s="29">
        <f t="shared" si="6"/>
        <v>480653462.2</v>
      </c>
      <c r="U60" s="29">
        <f t="shared" si="7"/>
        <v>177841781</v>
      </c>
    </row>
    <row r="61" ht="14.25" customHeight="1">
      <c r="A61" s="4">
        <v>59.0</v>
      </c>
      <c r="B61" s="2" t="s">
        <v>255</v>
      </c>
      <c r="C61" s="2" t="s">
        <v>249</v>
      </c>
      <c r="D61" s="3">
        <v>5.3E9</v>
      </c>
      <c r="E61" s="2" t="s">
        <v>256</v>
      </c>
      <c r="F61" s="4" t="str">
        <f>VLOOKUP(B61,Raw_Data_Collection!$B$2:$F$215,5,FALSE)</f>
        <v>N</v>
      </c>
      <c r="G61" s="3">
        <f>VLOOKUP(B61,Raw_Data_Collection!$B$2:$J$215,6,FALSE)</f>
        <v>41600000</v>
      </c>
      <c r="H61" s="5" t="s">
        <v>257</v>
      </c>
      <c r="I61" s="4">
        <v>2026.0</v>
      </c>
      <c r="J61" s="18">
        <f>VLOOKUP(B61,Raw_Data_Collection!$B$2:$J$215,9,FALSE)</f>
        <v>123000000</v>
      </c>
      <c r="K61" s="18">
        <f>VLOOKUP(B61,Real_Estate_Stats_Preferred!$A$2:$G$215,7,FALSE)</f>
        <v>123000000</v>
      </c>
      <c r="L61" s="18">
        <f t="shared" si="1"/>
        <v>5177000000</v>
      </c>
      <c r="M61" s="4">
        <v>0.37</v>
      </c>
      <c r="N61" s="4">
        <v>0.05</v>
      </c>
      <c r="O61" s="29">
        <f t="shared" si="2"/>
        <v>258850000</v>
      </c>
      <c r="P61" s="29">
        <f t="shared" si="3"/>
        <v>410873015.9</v>
      </c>
      <c r="Q61" s="29">
        <f t="shared" si="4"/>
        <v>152023015.9</v>
      </c>
      <c r="R61" s="4">
        <v>0.075</v>
      </c>
      <c r="S61" s="29">
        <f t="shared" si="5"/>
        <v>297677500</v>
      </c>
      <c r="T61" s="29">
        <f t="shared" si="6"/>
        <v>472503968.3</v>
      </c>
      <c r="U61" s="29">
        <f t="shared" si="7"/>
        <v>174826468.3</v>
      </c>
      <c r="V61" s="4" t="s">
        <v>258</v>
      </c>
      <c r="W61" s="4" t="s">
        <v>259</v>
      </c>
      <c r="X61" s="4" t="s">
        <v>260</v>
      </c>
    </row>
    <row r="62" ht="14.25" customHeight="1">
      <c r="A62" s="4">
        <v>60.0</v>
      </c>
      <c r="B62" s="2" t="s">
        <v>261</v>
      </c>
      <c r="C62" s="2" t="s">
        <v>262</v>
      </c>
      <c r="D62" s="3">
        <v>5.1E9</v>
      </c>
      <c r="E62" s="2" t="s">
        <v>263</v>
      </c>
      <c r="F62" s="4" t="str">
        <f>VLOOKUP(B62,Raw_Data_Collection!$B$2:$F$215,5,FALSE)</f>
        <v>Y</v>
      </c>
      <c r="G62" s="3">
        <f>VLOOKUP(B62,Raw_Data_Collection!$B$2:$J$215,6,FALSE)</f>
        <v>1750000</v>
      </c>
      <c r="H62" s="5" t="s">
        <v>264</v>
      </c>
      <c r="I62" s="4">
        <v>2016.0</v>
      </c>
      <c r="J62" s="18">
        <f>VLOOKUP(B62,Raw_Data_Collection!$B$2:$J$215,9,FALSE)</f>
        <v>3250000</v>
      </c>
      <c r="K62" s="18">
        <f>VLOOKUP(B62,Real_Estate_Stats_Preferred!$A$2:$G$215,7,FALSE)</f>
        <v>3250000</v>
      </c>
      <c r="L62" s="18">
        <f t="shared" si="1"/>
        <v>5096750000</v>
      </c>
      <c r="M62" s="4">
        <v>0.37</v>
      </c>
      <c r="N62" s="4">
        <v>0.05</v>
      </c>
      <c r="O62" s="29">
        <f t="shared" si="2"/>
        <v>254837500</v>
      </c>
      <c r="P62" s="29">
        <f t="shared" si="3"/>
        <v>404503968.3</v>
      </c>
      <c r="Q62" s="29">
        <f t="shared" si="4"/>
        <v>149666468.3</v>
      </c>
      <c r="R62" s="4">
        <v>0.075</v>
      </c>
      <c r="S62" s="29">
        <f t="shared" si="5"/>
        <v>293063125</v>
      </c>
      <c r="T62" s="29">
        <f t="shared" si="6"/>
        <v>465179563.5</v>
      </c>
      <c r="U62" s="29">
        <f t="shared" si="7"/>
        <v>172116438.5</v>
      </c>
      <c r="V62" s="4" t="s">
        <v>265</v>
      </c>
      <c r="W62" s="6" t="s">
        <v>264</v>
      </c>
      <c r="X62" s="4" t="s">
        <v>266</v>
      </c>
      <c r="Y62" s="5" t="s">
        <v>94</v>
      </c>
    </row>
    <row r="63" ht="14.25" customHeight="1">
      <c r="A63" s="4">
        <v>61.0</v>
      </c>
      <c r="B63" s="2" t="s">
        <v>267</v>
      </c>
      <c r="C63" s="2" t="s">
        <v>262</v>
      </c>
      <c r="D63" s="3">
        <v>5.1E9</v>
      </c>
      <c r="E63" s="2" t="s">
        <v>268</v>
      </c>
      <c r="F63" s="4" t="str">
        <f>VLOOKUP(B63,Raw_Data_Collection!$B$2:$F$215,5,FALSE)</f>
        <v>N</v>
      </c>
      <c r="G63" s="3" t="str">
        <f>VLOOKUP(B63,Raw_Data_Collection!$B$2:$J$215,6,FALSE)</f>
        <v/>
      </c>
      <c r="J63" s="2" t="str">
        <f>VLOOKUP(B63,Raw_Data_Collection!$B$2:$J$215,9,FALSE)</f>
        <v/>
      </c>
      <c r="K63" s="18">
        <f>VLOOKUP(B63,Real_Estate_Stats_Preferred!$A$2:$G$215,7,FALSE)</f>
        <v>32437821.43</v>
      </c>
      <c r="L63" s="18">
        <f t="shared" si="1"/>
        <v>5067562179</v>
      </c>
      <c r="M63" s="4">
        <v>0.37</v>
      </c>
      <c r="N63" s="4">
        <v>0.05</v>
      </c>
      <c r="O63" s="29">
        <f t="shared" si="2"/>
        <v>253378108.9</v>
      </c>
      <c r="P63" s="29">
        <f t="shared" si="3"/>
        <v>402187474.5</v>
      </c>
      <c r="Q63" s="29">
        <f t="shared" si="4"/>
        <v>148809365.6</v>
      </c>
      <c r="R63" s="4">
        <v>0.075</v>
      </c>
      <c r="S63" s="29">
        <f t="shared" si="5"/>
        <v>291384825.3</v>
      </c>
      <c r="T63" s="29">
        <f t="shared" si="6"/>
        <v>462515595.7</v>
      </c>
      <c r="U63" s="29">
        <f t="shared" si="7"/>
        <v>171130770.4</v>
      </c>
    </row>
    <row r="64" ht="14.25" customHeight="1">
      <c r="A64" s="4">
        <v>62.0</v>
      </c>
      <c r="B64" s="2" t="s">
        <v>269</v>
      </c>
      <c r="C64" s="2" t="s">
        <v>270</v>
      </c>
      <c r="D64" s="3">
        <v>5.0E9</v>
      </c>
      <c r="E64" s="2" t="s">
        <v>271</v>
      </c>
      <c r="F64" s="4" t="str">
        <f>VLOOKUP(B64,Raw_Data_Collection!$B$2:$F$215,5,FALSE)</f>
        <v>N</v>
      </c>
      <c r="G64" s="3" t="str">
        <f>VLOOKUP(B64,Raw_Data_Collection!$B$2:$J$215,6,FALSE)</f>
        <v/>
      </c>
      <c r="J64" s="2" t="str">
        <f>VLOOKUP(B64,Raw_Data_Collection!$B$2:$J$215,9,FALSE)</f>
        <v/>
      </c>
      <c r="K64" s="18">
        <f>VLOOKUP(B64,Real_Estate_Stats_Preferred!$A$2:$G$215,7,FALSE)</f>
        <v>31801785.71</v>
      </c>
      <c r="L64" s="18">
        <f t="shared" si="1"/>
        <v>4968198214</v>
      </c>
      <c r="M64" s="4">
        <v>0.37</v>
      </c>
      <c r="N64" s="4">
        <v>0.05</v>
      </c>
      <c r="O64" s="29">
        <f t="shared" si="2"/>
        <v>248409910.7</v>
      </c>
      <c r="P64" s="29">
        <f t="shared" si="3"/>
        <v>394301445.6</v>
      </c>
      <c r="Q64" s="29">
        <f t="shared" si="4"/>
        <v>145891534.9</v>
      </c>
      <c r="R64" s="4">
        <v>0.075</v>
      </c>
      <c r="S64" s="29">
        <f t="shared" si="5"/>
        <v>285671397.3</v>
      </c>
      <c r="T64" s="29">
        <f t="shared" si="6"/>
        <v>453446662.4</v>
      </c>
      <c r="U64" s="29">
        <f t="shared" si="7"/>
        <v>167775265.1</v>
      </c>
    </row>
    <row r="65" ht="14.25" customHeight="1">
      <c r="A65" s="4">
        <v>63.0</v>
      </c>
      <c r="B65" s="2" t="s">
        <v>272</v>
      </c>
      <c r="C65" s="2" t="s">
        <v>270</v>
      </c>
      <c r="D65" s="3">
        <v>5.0E9</v>
      </c>
      <c r="E65" s="2" t="s">
        <v>100</v>
      </c>
      <c r="F65" s="4" t="str">
        <f>VLOOKUP(B65,Raw_Data_Collection!$B$2:$F$215,5,FALSE)</f>
        <v>N</v>
      </c>
      <c r="G65" s="3" t="str">
        <f>VLOOKUP(B65,Raw_Data_Collection!$B$2:$J$215,6,FALSE)</f>
        <v/>
      </c>
      <c r="J65" s="2" t="str">
        <f>VLOOKUP(B65,Raw_Data_Collection!$B$2:$J$215,9,FALSE)</f>
        <v/>
      </c>
      <c r="K65" s="18">
        <f>VLOOKUP(B65,Real_Estate_Stats_Preferred!$A$2:$G$215,7,FALSE)</f>
        <v>31801785.71</v>
      </c>
      <c r="L65" s="18">
        <f t="shared" si="1"/>
        <v>4968198214</v>
      </c>
      <c r="M65" s="4">
        <v>0.37</v>
      </c>
      <c r="N65" s="4">
        <v>0.05</v>
      </c>
      <c r="O65" s="29">
        <f t="shared" si="2"/>
        <v>248409910.7</v>
      </c>
      <c r="P65" s="29">
        <f t="shared" si="3"/>
        <v>394301445.6</v>
      </c>
      <c r="Q65" s="29">
        <f t="shared" si="4"/>
        <v>145891534.9</v>
      </c>
      <c r="R65" s="4">
        <v>0.075</v>
      </c>
      <c r="S65" s="29">
        <f t="shared" si="5"/>
        <v>285671397.3</v>
      </c>
      <c r="T65" s="29">
        <f t="shared" si="6"/>
        <v>453446662.4</v>
      </c>
      <c r="U65" s="29">
        <f t="shared" si="7"/>
        <v>167775265.1</v>
      </c>
    </row>
    <row r="66" ht="14.25" customHeight="1">
      <c r="A66" s="4">
        <v>64.0</v>
      </c>
      <c r="B66" s="2" t="s">
        <v>273</v>
      </c>
      <c r="C66" s="2" t="s">
        <v>274</v>
      </c>
      <c r="D66" s="3">
        <v>4.9E9</v>
      </c>
      <c r="E66" s="2" t="s">
        <v>100</v>
      </c>
      <c r="F66" s="4" t="str">
        <f>VLOOKUP(B66,Raw_Data_Collection!$B$2:$F$215,5,FALSE)</f>
        <v>N</v>
      </c>
      <c r="G66" s="3">
        <f>VLOOKUP(B66,Raw_Data_Collection!$B$2:$J$215,6,FALSE)</f>
        <v>31900000</v>
      </c>
      <c r="H66" s="5" t="s">
        <v>149</v>
      </c>
      <c r="I66" s="4">
        <v>2018.0</v>
      </c>
      <c r="J66" s="18">
        <f>VLOOKUP(B66,Raw_Data_Collection!$B$2:$J$215,9,FALSE)</f>
        <v>31900000</v>
      </c>
      <c r="K66" s="18">
        <f>VLOOKUP(B66,Real_Estate_Stats_Preferred!$A$2:$G$215,7,FALSE)</f>
        <v>31900000</v>
      </c>
      <c r="L66" s="18">
        <f t="shared" si="1"/>
        <v>4868100000</v>
      </c>
      <c r="M66" s="4">
        <v>0.37</v>
      </c>
      <c r="N66" s="4">
        <v>0.05</v>
      </c>
      <c r="O66" s="29">
        <f t="shared" si="2"/>
        <v>243405000</v>
      </c>
      <c r="P66" s="29">
        <f t="shared" si="3"/>
        <v>386357142.9</v>
      </c>
      <c r="Q66" s="29">
        <f t="shared" si="4"/>
        <v>142952142.9</v>
      </c>
      <c r="R66" s="4">
        <v>0.075</v>
      </c>
      <c r="S66" s="29">
        <f t="shared" si="5"/>
        <v>279915750</v>
      </c>
      <c r="T66" s="29">
        <f t="shared" si="6"/>
        <v>444310714.3</v>
      </c>
      <c r="U66" s="29">
        <f t="shared" si="7"/>
        <v>164394964.3</v>
      </c>
      <c r="V66" s="4" t="s">
        <v>275</v>
      </c>
      <c r="W66" s="4" t="s">
        <v>276</v>
      </c>
      <c r="X66" s="4" t="s">
        <v>277</v>
      </c>
    </row>
    <row r="67" ht="14.25" customHeight="1">
      <c r="A67" s="4">
        <v>65.0</v>
      </c>
      <c r="B67" s="2" t="s">
        <v>278</v>
      </c>
      <c r="C67" s="2" t="s">
        <v>274</v>
      </c>
      <c r="D67" s="3">
        <v>4.9E9</v>
      </c>
      <c r="E67" s="2" t="s">
        <v>100</v>
      </c>
      <c r="F67" s="4" t="str">
        <f>VLOOKUP(B67,Raw_Data_Collection!$B$2:$F$215,5,FALSE)</f>
        <v>N</v>
      </c>
      <c r="G67" s="3" t="str">
        <f>VLOOKUP(B67,Raw_Data_Collection!$B$2:$J$215,6,FALSE)</f>
        <v/>
      </c>
      <c r="J67" s="2" t="str">
        <f>VLOOKUP(B67,Raw_Data_Collection!$B$2:$J$215,9,FALSE)</f>
        <v/>
      </c>
      <c r="K67" s="18">
        <f>VLOOKUP(B67,Real_Estate_Stats_Preferred!$A$2:$G$215,7,FALSE)</f>
        <v>31165750</v>
      </c>
      <c r="L67" s="18">
        <f t="shared" si="1"/>
        <v>4868834250</v>
      </c>
      <c r="M67" s="4">
        <v>0.37</v>
      </c>
      <c r="N67" s="4">
        <v>0.05</v>
      </c>
      <c r="O67" s="29">
        <f t="shared" si="2"/>
        <v>243441712.5</v>
      </c>
      <c r="P67" s="29">
        <f t="shared" si="3"/>
        <v>386415416.7</v>
      </c>
      <c r="Q67" s="29">
        <f t="shared" si="4"/>
        <v>142973704.2</v>
      </c>
      <c r="R67" s="4">
        <v>0.075</v>
      </c>
      <c r="S67" s="29">
        <f t="shared" si="5"/>
        <v>279957969.4</v>
      </c>
      <c r="T67" s="29">
        <f t="shared" si="6"/>
        <v>444377729.2</v>
      </c>
      <c r="U67" s="29">
        <f t="shared" si="7"/>
        <v>164419759.8</v>
      </c>
    </row>
    <row r="68" ht="14.25" customHeight="1">
      <c r="A68" s="4">
        <v>66.0</v>
      </c>
      <c r="B68" s="2" t="s">
        <v>279</v>
      </c>
      <c r="C68" s="2" t="s">
        <v>280</v>
      </c>
      <c r="D68" s="3">
        <v>4.8E9</v>
      </c>
      <c r="E68" s="2" t="s">
        <v>100</v>
      </c>
      <c r="F68" s="4" t="str">
        <f>VLOOKUP(B68,Raw_Data_Collection!$B$2:$F$215,5,FALSE)</f>
        <v>N</v>
      </c>
      <c r="G68" s="3">
        <f>VLOOKUP(B68,Raw_Data_Collection!$B$2:$J$215,6,FALSE)</f>
        <v>22222762</v>
      </c>
      <c r="H68" s="5" t="s">
        <v>281</v>
      </c>
      <c r="I68" s="4">
        <v>2026.0</v>
      </c>
      <c r="J68" s="18">
        <f>VLOOKUP(B68,Raw_Data_Collection!$B$2:$J$215,9,FALSE)</f>
        <v>59322762</v>
      </c>
      <c r="K68" s="18">
        <f>VLOOKUP(B68,Real_Estate_Stats_Preferred!$A$2:$G$215,7,FALSE)</f>
        <v>59322762</v>
      </c>
      <c r="L68" s="18">
        <f t="shared" si="1"/>
        <v>4740677238</v>
      </c>
      <c r="M68" s="4">
        <v>0.37</v>
      </c>
      <c r="N68" s="4">
        <v>0.05</v>
      </c>
      <c r="O68" s="29">
        <f t="shared" si="2"/>
        <v>237033861.9</v>
      </c>
      <c r="P68" s="29">
        <f t="shared" si="3"/>
        <v>376244225.2</v>
      </c>
      <c r="Q68" s="29">
        <f t="shared" si="4"/>
        <v>139210363.3</v>
      </c>
      <c r="R68" s="4">
        <v>0.075</v>
      </c>
      <c r="S68" s="29">
        <f t="shared" si="5"/>
        <v>272588941.2</v>
      </c>
      <c r="T68" s="29">
        <f t="shared" si="6"/>
        <v>432680859</v>
      </c>
      <c r="U68" s="29">
        <f t="shared" si="7"/>
        <v>160091917.8</v>
      </c>
      <c r="V68" s="4" t="s">
        <v>282</v>
      </c>
      <c r="W68" s="4" t="s">
        <v>283</v>
      </c>
      <c r="X68" s="10" t="s">
        <v>831</v>
      </c>
    </row>
    <row r="69" ht="14.25" customHeight="1">
      <c r="A69" s="4">
        <v>67.0</v>
      </c>
      <c r="B69" s="2" t="s">
        <v>285</v>
      </c>
      <c r="C69" s="2" t="s">
        <v>280</v>
      </c>
      <c r="D69" s="3">
        <v>4.8E9</v>
      </c>
      <c r="E69" s="2" t="s">
        <v>100</v>
      </c>
      <c r="F69" s="4" t="str">
        <f>VLOOKUP(B69,Raw_Data_Collection!$B$2:$F$215,5,FALSE)</f>
        <v>N</v>
      </c>
      <c r="G69" s="3">
        <f>VLOOKUP(B69,Raw_Data_Collection!$B$2:$J$215,6,FALSE)</f>
        <v>6849000</v>
      </c>
      <c r="H69" s="5" t="s">
        <v>286</v>
      </c>
      <c r="I69" s="4">
        <v>2026.0</v>
      </c>
      <c r="J69" s="18">
        <f>VLOOKUP(B69,Raw_Data_Collection!$B$2:$J$215,9,FALSE)</f>
        <v>6849000</v>
      </c>
      <c r="K69" s="18">
        <f>VLOOKUP(B69,Real_Estate_Stats_Preferred!$A$2:$G$215,7,FALSE)</f>
        <v>6849000</v>
      </c>
      <c r="L69" s="18">
        <f t="shared" si="1"/>
        <v>4793151000</v>
      </c>
      <c r="M69" s="4">
        <v>0.37</v>
      </c>
      <c r="N69" s="4">
        <v>0.05</v>
      </c>
      <c r="O69" s="29">
        <f t="shared" si="2"/>
        <v>239657550</v>
      </c>
      <c r="P69" s="29">
        <f t="shared" si="3"/>
        <v>380408809.5</v>
      </c>
      <c r="Q69" s="29">
        <f t="shared" si="4"/>
        <v>140751259.5</v>
      </c>
      <c r="R69" s="4">
        <v>0.075</v>
      </c>
      <c r="S69" s="29">
        <f t="shared" si="5"/>
        <v>275606182.5</v>
      </c>
      <c r="T69" s="29">
        <f t="shared" si="6"/>
        <v>437470131</v>
      </c>
      <c r="U69" s="29">
        <f t="shared" si="7"/>
        <v>161863948.5</v>
      </c>
      <c r="V69" s="4">
        <v>2026.0</v>
      </c>
      <c r="W69" s="5" t="s">
        <v>286</v>
      </c>
      <c r="X69" s="6" t="s">
        <v>832</v>
      </c>
    </row>
    <row r="70" ht="14.25" customHeight="1">
      <c r="A70" s="4">
        <v>68.0</v>
      </c>
      <c r="B70" s="2" t="s">
        <v>288</v>
      </c>
      <c r="C70" s="2" t="s">
        <v>280</v>
      </c>
      <c r="D70" s="3">
        <v>4.8E9</v>
      </c>
      <c r="E70" s="2" t="s">
        <v>256</v>
      </c>
      <c r="F70" s="4" t="str">
        <f>VLOOKUP(B70,Raw_Data_Collection!$B$2:$F$215,5,FALSE)</f>
        <v>N</v>
      </c>
      <c r="G70" s="3">
        <f>VLOOKUP(B70,Raw_Data_Collection!$B$2:$J$215,6,FALSE)</f>
        <v>5884000</v>
      </c>
      <c r="H70" s="5" t="s">
        <v>289</v>
      </c>
      <c r="I70" s="4">
        <v>2026.0</v>
      </c>
      <c r="J70" s="18">
        <f>VLOOKUP(B70,Raw_Data_Collection!$B$2:$J$215,9,FALSE)</f>
        <v>5884000</v>
      </c>
      <c r="K70" s="18">
        <f>VLOOKUP(B70,Real_Estate_Stats_Preferred!$A$2:$G$215,7,FALSE)</f>
        <v>5884000</v>
      </c>
      <c r="L70" s="18">
        <f t="shared" si="1"/>
        <v>4794116000</v>
      </c>
      <c r="M70" s="4">
        <v>0.37</v>
      </c>
      <c r="N70" s="4">
        <v>0.05</v>
      </c>
      <c r="O70" s="29">
        <f t="shared" si="2"/>
        <v>239705800</v>
      </c>
      <c r="P70" s="29">
        <f t="shared" si="3"/>
        <v>380485396.8</v>
      </c>
      <c r="Q70" s="29">
        <f t="shared" si="4"/>
        <v>140779596.8</v>
      </c>
      <c r="R70" s="4">
        <v>0.075</v>
      </c>
      <c r="S70" s="29">
        <f t="shared" si="5"/>
        <v>275661670</v>
      </c>
      <c r="T70" s="29">
        <f t="shared" si="6"/>
        <v>437558206.3</v>
      </c>
      <c r="U70" s="29">
        <f t="shared" si="7"/>
        <v>161896536.3</v>
      </c>
      <c r="V70" s="4">
        <v>2026.0</v>
      </c>
      <c r="W70" s="5" t="s">
        <v>289</v>
      </c>
      <c r="X70" s="7" t="s">
        <v>833</v>
      </c>
    </row>
    <row r="71" ht="14.25" customHeight="1">
      <c r="A71" s="4">
        <v>69.0</v>
      </c>
      <c r="B71" s="2" t="s">
        <v>291</v>
      </c>
      <c r="C71" s="2" t="s">
        <v>280</v>
      </c>
      <c r="D71" s="3">
        <v>4.8E9</v>
      </c>
      <c r="E71" s="2" t="s">
        <v>218</v>
      </c>
      <c r="F71" s="4" t="str">
        <f>VLOOKUP(B71,Raw_Data_Collection!$B$2:$F$215,5,FALSE)</f>
        <v>N</v>
      </c>
      <c r="G71" s="3">
        <f>VLOOKUP(B71,Raw_Data_Collection!$B$2:$J$215,6,FALSE)</f>
        <v>13269963</v>
      </c>
      <c r="H71" s="5" t="s">
        <v>292</v>
      </c>
      <c r="I71" s="4">
        <v>2026.0</v>
      </c>
      <c r="J71" s="18">
        <f>VLOOKUP(B71,Raw_Data_Collection!$B$2:$J$215,9,FALSE)</f>
        <v>25671792</v>
      </c>
      <c r="K71" s="18">
        <f>VLOOKUP(B71,Real_Estate_Stats_Preferred!$A$2:$G$215,7,FALSE)</f>
        <v>25671792</v>
      </c>
      <c r="L71" s="18">
        <f t="shared" si="1"/>
        <v>4774328208</v>
      </c>
      <c r="M71" s="4">
        <v>0.37</v>
      </c>
      <c r="N71" s="4">
        <v>0.05</v>
      </c>
      <c r="O71" s="29">
        <f t="shared" si="2"/>
        <v>238716410.4</v>
      </c>
      <c r="P71" s="29">
        <f t="shared" si="3"/>
        <v>378914937.1</v>
      </c>
      <c r="Q71" s="29">
        <f t="shared" si="4"/>
        <v>140198526.7</v>
      </c>
      <c r="R71" s="4">
        <v>0.075</v>
      </c>
      <c r="S71" s="29">
        <f t="shared" si="5"/>
        <v>274523872</v>
      </c>
      <c r="T71" s="29">
        <f t="shared" si="6"/>
        <v>435752177.7</v>
      </c>
      <c r="U71" s="29">
        <f t="shared" si="7"/>
        <v>161228305.8</v>
      </c>
      <c r="V71" s="4">
        <v>2026.0</v>
      </c>
      <c r="W71" s="4" t="s">
        <v>293</v>
      </c>
      <c r="X71" s="7" t="s">
        <v>834</v>
      </c>
    </row>
    <row r="72" ht="14.25" customHeight="1">
      <c r="A72" s="4">
        <v>70.0</v>
      </c>
      <c r="B72" s="2" t="s">
        <v>295</v>
      </c>
      <c r="C72" s="2" t="s">
        <v>280</v>
      </c>
      <c r="D72" s="3">
        <v>4.8E9</v>
      </c>
      <c r="E72" s="2" t="s">
        <v>100</v>
      </c>
      <c r="F72" s="4" t="str">
        <f>VLOOKUP(B72,Raw_Data_Collection!$B$2:$F$215,5,FALSE)</f>
        <v>N</v>
      </c>
      <c r="G72" s="3">
        <f>VLOOKUP(B72,Raw_Data_Collection!$B$2:$J$215,6,FALSE)</f>
        <v>7809894</v>
      </c>
      <c r="H72" s="5" t="s">
        <v>296</v>
      </c>
      <c r="I72" s="4">
        <v>2026.0</v>
      </c>
      <c r="J72" s="18">
        <f>VLOOKUP(B72,Raw_Data_Collection!$B$2:$J$215,9,FALSE)</f>
        <v>90000000</v>
      </c>
      <c r="K72" s="18">
        <f>VLOOKUP(B72,Real_Estate_Stats_Preferred!$A$2:$G$215,7,FALSE)</f>
        <v>90000000</v>
      </c>
      <c r="L72" s="18">
        <f t="shared" si="1"/>
        <v>4710000000</v>
      </c>
      <c r="M72" s="4">
        <v>0.37</v>
      </c>
      <c r="N72" s="4">
        <v>0.05</v>
      </c>
      <c r="O72" s="29">
        <f t="shared" si="2"/>
        <v>235500000</v>
      </c>
      <c r="P72" s="29">
        <f t="shared" si="3"/>
        <v>373809523.8</v>
      </c>
      <c r="Q72" s="29">
        <f t="shared" si="4"/>
        <v>138309523.8</v>
      </c>
      <c r="R72" s="4">
        <v>0.075</v>
      </c>
      <c r="S72" s="29">
        <f t="shared" si="5"/>
        <v>270825000</v>
      </c>
      <c r="T72" s="29">
        <f t="shared" si="6"/>
        <v>429880952.4</v>
      </c>
      <c r="U72" s="29">
        <f t="shared" si="7"/>
        <v>159055952.4</v>
      </c>
      <c r="V72" s="4">
        <v>2023.0</v>
      </c>
      <c r="W72" s="6" t="s">
        <v>297</v>
      </c>
      <c r="X72" s="6" t="s">
        <v>835</v>
      </c>
    </row>
    <row r="73" ht="14.25" customHeight="1">
      <c r="A73" s="4">
        <v>71.0</v>
      </c>
      <c r="B73" s="2" t="s">
        <v>299</v>
      </c>
      <c r="C73" s="2" t="s">
        <v>300</v>
      </c>
      <c r="D73" s="3">
        <v>4.5E9</v>
      </c>
      <c r="E73" s="2" t="s">
        <v>17</v>
      </c>
      <c r="F73" s="4" t="str">
        <f>VLOOKUP(B73,Raw_Data_Collection!$B$2:$F$215,5,FALSE)</f>
        <v>N</v>
      </c>
      <c r="G73" s="3" t="str">
        <f>VLOOKUP(B73,Raw_Data_Collection!$B$2:$J$215,6,FALSE)</f>
        <v/>
      </c>
      <c r="I73" s="4"/>
      <c r="J73" s="2" t="str">
        <f>VLOOKUP(B73,Raw_Data_Collection!$B$2:$J$215,9,FALSE)</f>
        <v/>
      </c>
      <c r="K73" s="18">
        <f>VLOOKUP(B73,Real_Estate_Stats_Preferred!$A$2:$G$215,7,FALSE)</f>
        <v>28621607.14</v>
      </c>
      <c r="L73" s="18">
        <f t="shared" si="1"/>
        <v>4471378393</v>
      </c>
      <c r="M73" s="4">
        <v>0.37</v>
      </c>
      <c r="N73" s="4">
        <v>0.05</v>
      </c>
      <c r="O73" s="29">
        <f t="shared" si="2"/>
        <v>223568919.6</v>
      </c>
      <c r="P73" s="29">
        <f t="shared" si="3"/>
        <v>354871301</v>
      </c>
      <c r="Q73" s="29">
        <f t="shared" si="4"/>
        <v>131302381.4</v>
      </c>
      <c r="R73" s="4">
        <v>0.075</v>
      </c>
      <c r="S73" s="29">
        <f t="shared" si="5"/>
        <v>257104257.6</v>
      </c>
      <c r="T73" s="29">
        <f t="shared" si="6"/>
        <v>408101996.2</v>
      </c>
      <c r="U73" s="29">
        <f t="shared" si="7"/>
        <v>150997738.6</v>
      </c>
      <c r="V73" s="4"/>
      <c r="W73" s="4"/>
      <c r="X73" s="4"/>
    </row>
    <row r="74" ht="14.25" customHeight="1">
      <c r="A74" s="4">
        <v>72.0</v>
      </c>
      <c r="B74" s="2" t="s">
        <v>301</v>
      </c>
      <c r="C74" s="2" t="s">
        <v>302</v>
      </c>
      <c r="D74" s="3">
        <v>4.4E9</v>
      </c>
      <c r="E74" s="2" t="s">
        <v>303</v>
      </c>
      <c r="F74" s="4" t="str">
        <f>VLOOKUP(B74,Raw_Data_Collection!$B$2:$F$215,5,FALSE)</f>
        <v>N</v>
      </c>
      <c r="G74" s="3" t="str">
        <f>VLOOKUP(B74,Raw_Data_Collection!$B$2:$J$215,6,FALSE)</f>
        <v/>
      </c>
      <c r="J74" s="2" t="str">
        <f>VLOOKUP(B74,Raw_Data_Collection!$B$2:$J$215,9,FALSE)</f>
        <v/>
      </c>
      <c r="K74" s="18">
        <f>VLOOKUP(B74,Real_Estate_Stats_Preferred!$A$2:$G$215,7,FALSE)</f>
        <v>27985571.43</v>
      </c>
      <c r="L74" s="18">
        <f t="shared" si="1"/>
        <v>4372014429</v>
      </c>
      <c r="M74" s="4">
        <v>0.37</v>
      </c>
      <c r="N74" s="4">
        <v>0.05</v>
      </c>
      <c r="O74" s="29">
        <f t="shared" si="2"/>
        <v>218600721.4</v>
      </c>
      <c r="P74" s="29">
        <f t="shared" si="3"/>
        <v>346985272.1</v>
      </c>
      <c r="Q74" s="29">
        <f t="shared" si="4"/>
        <v>128384550.7</v>
      </c>
      <c r="R74" s="4">
        <v>0.075</v>
      </c>
      <c r="S74" s="29">
        <f t="shared" si="5"/>
        <v>251390829.6</v>
      </c>
      <c r="T74" s="29">
        <f t="shared" si="6"/>
        <v>399033062.9</v>
      </c>
      <c r="U74" s="29">
        <f t="shared" si="7"/>
        <v>147642233.3</v>
      </c>
    </row>
    <row r="75" ht="14.25" customHeight="1">
      <c r="A75" s="4">
        <v>73.0</v>
      </c>
      <c r="B75" s="2" t="s">
        <v>304</v>
      </c>
      <c r="C75" s="2" t="s">
        <v>302</v>
      </c>
      <c r="D75" s="3">
        <v>4.4E9</v>
      </c>
      <c r="E75" s="2" t="s">
        <v>47</v>
      </c>
      <c r="F75" s="4" t="str">
        <f>VLOOKUP(B75,Raw_Data_Collection!$B$2:$F$215,5,FALSE)</f>
        <v>N</v>
      </c>
      <c r="G75" s="3">
        <f>VLOOKUP(B75,Raw_Data_Collection!$B$2:$J$215,6,FALSE)</f>
        <v>195000000</v>
      </c>
      <c r="H75" s="5" t="s">
        <v>305</v>
      </c>
      <c r="I75" s="4">
        <v>2024.0</v>
      </c>
      <c r="J75" s="18">
        <f>VLOOKUP(B75,Raw_Data_Collection!$B$2:$J$215,9,FALSE)</f>
        <v>195000000</v>
      </c>
      <c r="K75" s="18">
        <f>VLOOKUP(B75,Real_Estate_Stats_Preferred!$A$2:$G$215,7,FALSE)</f>
        <v>195000000</v>
      </c>
      <c r="L75" s="18">
        <f t="shared" si="1"/>
        <v>4205000000</v>
      </c>
      <c r="M75" s="4">
        <v>0.37</v>
      </c>
      <c r="N75" s="4">
        <v>0.05</v>
      </c>
      <c r="O75" s="29">
        <f t="shared" si="2"/>
        <v>210250000</v>
      </c>
      <c r="P75" s="29">
        <f t="shared" si="3"/>
        <v>333730158.7</v>
      </c>
      <c r="Q75" s="29">
        <f t="shared" si="4"/>
        <v>123480158.7</v>
      </c>
      <c r="R75" s="4">
        <v>0.075</v>
      </c>
      <c r="S75" s="29">
        <f t="shared" si="5"/>
        <v>241787500</v>
      </c>
      <c r="T75" s="29">
        <f t="shared" si="6"/>
        <v>383789682.5</v>
      </c>
      <c r="U75" s="29">
        <f t="shared" si="7"/>
        <v>142002182.5</v>
      </c>
      <c r="V75" s="4">
        <v>2024.0</v>
      </c>
      <c r="W75" s="5" t="s">
        <v>305</v>
      </c>
    </row>
    <row r="76" ht="14.25" customHeight="1">
      <c r="A76" s="4">
        <v>74.0</v>
      </c>
      <c r="B76" s="2" t="s">
        <v>306</v>
      </c>
      <c r="C76" s="2" t="s">
        <v>307</v>
      </c>
      <c r="D76" s="3">
        <v>4.3E9</v>
      </c>
      <c r="E76" s="2" t="s">
        <v>308</v>
      </c>
      <c r="F76" s="4" t="str">
        <f>VLOOKUP(B76,Raw_Data_Collection!$B$2:$F$215,5,FALSE)</f>
        <v>N</v>
      </c>
      <c r="G76" s="3" t="str">
        <f>VLOOKUP(B76,Raw_Data_Collection!$B$2:$J$215,6,FALSE)</f>
        <v/>
      </c>
      <c r="J76" s="2" t="str">
        <f>VLOOKUP(B76,Raw_Data_Collection!$B$2:$J$215,9,FALSE)</f>
        <v/>
      </c>
      <c r="K76" s="18">
        <f>VLOOKUP(B76,Real_Estate_Stats_Preferred!$A$2:$G$215,7,FALSE)</f>
        <v>27349535.71</v>
      </c>
      <c r="L76" s="18">
        <f t="shared" si="1"/>
        <v>4272650464</v>
      </c>
      <c r="M76" s="4">
        <v>0.37</v>
      </c>
      <c r="N76" s="4">
        <v>0.05</v>
      </c>
      <c r="O76" s="29">
        <f t="shared" si="2"/>
        <v>213632523.2</v>
      </c>
      <c r="P76" s="29">
        <f t="shared" si="3"/>
        <v>339099243.2</v>
      </c>
      <c r="Q76" s="29">
        <f t="shared" si="4"/>
        <v>125466720</v>
      </c>
      <c r="R76" s="4">
        <v>0.075</v>
      </c>
      <c r="S76" s="29">
        <f t="shared" si="5"/>
        <v>245677401.7</v>
      </c>
      <c r="T76" s="29">
        <f t="shared" si="6"/>
        <v>389964129.7</v>
      </c>
      <c r="U76" s="29">
        <f t="shared" si="7"/>
        <v>144286728</v>
      </c>
    </row>
    <row r="77" ht="14.25" customHeight="1">
      <c r="A77" s="4">
        <v>75.0</v>
      </c>
      <c r="B77" s="2" t="s">
        <v>309</v>
      </c>
      <c r="C77" s="2" t="s">
        <v>307</v>
      </c>
      <c r="D77" s="3">
        <v>4.3E9</v>
      </c>
      <c r="E77" s="2" t="s">
        <v>80</v>
      </c>
      <c r="F77" s="4" t="str">
        <f>VLOOKUP(B77,Raw_Data_Collection!$B$2:$F$215,5,FALSE)</f>
        <v>N</v>
      </c>
      <c r="G77" s="3">
        <f>VLOOKUP(B77,Raw_Data_Collection!$B$2:$J$215,6,FALSE)</f>
        <v>11443465</v>
      </c>
      <c r="H77" s="5" t="s">
        <v>310</v>
      </c>
      <c r="I77" s="4">
        <v>2026.0</v>
      </c>
      <c r="J77" s="18">
        <f>VLOOKUP(B77,Raw_Data_Collection!$B$2:$J$215,9,FALSE)</f>
        <v>29825465</v>
      </c>
      <c r="K77" s="18">
        <f>VLOOKUP(B77,Real_Estate_Stats_Preferred!$A$2:$G$215,7,FALSE)</f>
        <v>29825465</v>
      </c>
      <c r="L77" s="18">
        <f t="shared" si="1"/>
        <v>4270174535</v>
      </c>
      <c r="M77" s="4">
        <v>0.37</v>
      </c>
      <c r="N77" s="4">
        <v>0.05</v>
      </c>
      <c r="O77" s="29">
        <f t="shared" si="2"/>
        <v>213508726.8</v>
      </c>
      <c r="P77" s="29">
        <f t="shared" si="3"/>
        <v>338902740.9</v>
      </c>
      <c r="Q77" s="29">
        <f t="shared" si="4"/>
        <v>125394014.1</v>
      </c>
      <c r="R77" s="4">
        <v>0.075</v>
      </c>
      <c r="S77" s="29">
        <f t="shared" si="5"/>
        <v>245535035.8</v>
      </c>
      <c r="T77" s="29">
        <f t="shared" si="6"/>
        <v>389738152</v>
      </c>
      <c r="U77" s="29">
        <f t="shared" si="7"/>
        <v>144203116.2</v>
      </c>
      <c r="V77" s="4" t="s">
        <v>311</v>
      </c>
      <c r="W77" s="7" t="s">
        <v>836</v>
      </c>
      <c r="X77" s="7" t="s">
        <v>837</v>
      </c>
    </row>
    <row r="78" ht="14.25" customHeight="1">
      <c r="A78" s="4">
        <v>76.0</v>
      </c>
      <c r="B78" s="2" t="s">
        <v>314</v>
      </c>
      <c r="C78" s="2" t="s">
        <v>315</v>
      </c>
      <c r="D78" s="3">
        <v>4.1E9</v>
      </c>
      <c r="E78" s="2" t="s">
        <v>100</v>
      </c>
      <c r="F78" s="4" t="str">
        <f>VLOOKUP(B78,Raw_Data_Collection!$B$2:$F$215,5,FALSE)</f>
        <v>N</v>
      </c>
      <c r="G78" s="3" t="str">
        <f>VLOOKUP(B78,Raw_Data_Collection!$B$2:$J$215,6,FALSE)</f>
        <v/>
      </c>
      <c r="J78" s="2" t="str">
        <f>VLOOKUP(B78,Raw_Data_Collection!$B$2:$J$215,9,FALSE)</f>
        <v/>
      </c>
      <c r="K78" s="18">
        <f>VLOOKUP(B78,Real_Estate_Stats_Preferred!$A$2:$G$215,7,FALSE)</f>
        <v>26077464.29</v>
      </c>
      <c r="L78" s="18">
        <f t="shared" si="1"/>
        <v>4073922536</v>
      </c>
      <c r="M78" s="4">
        <v>0.37</v>
      </c>
      <c r="N78" s="4">
        <v>0.05</v>
      </c>
      <c r="O78" s="29">
        <f t="shared" si="2"/>
        <v>203696126.8</v>
      </c>
      <c r="P78" s="29">
        <f t="shared" si="3"/>
        <v>323327185.4</v>
      </c>
      <c r="Q78" s="29">
        <f t="shared" si="4"/>
        <v>119631058.6</v>
      </c>
      <c r="R78" s="4">
        <v>0.075</v>
      </c>
      <c r="S78" s="29">
        <f t="shared" si="5"/>
        <v>234250545.8</v>
      </c>
      <c r="T78" s="29">
        <f t="shared" si="6"/>
        <v>371826263.2</v>
      </c>
      <c r="U78" s="29">
        <f t="shared" si="7"/>
        <v>137575717.4</v>
      </c>
    </row>
    <row r="79" ht="14.25" customHeight="1">
      <c r="A79" s="4">
        <v>77.0</v>
      </c>
      <c r="B79" s="2" t="s">
        <v>316</v>
      </c>
      <c r="C79" s="2" t="s">
        <v>317</v>
      </c>
      <c r="D79" s="3">
        <v>4.0E9</v>
      </c>
      <c r="E79" s="2" t="s">
        <v>24</v>
      </c>
      <c r="F79" s="4" t="str">
        <f>VLOOKUP(B79,Raw_Data_Collection!$B$2:$F$215,5,FALSE)</f>
        <v>N</v>
      </c>
      <c r="G79" s="3" t="str">
        <f>VLOOKUP(B79,Raw_Data_Collection!$B$2:$J$215,6,FALSE)</f>
        <v/>
      </c>
      <c r="J79" s="2" t="str">
        <f>VLOOKUP(B79,Raw_Data_Collection!$B$2:$J$215,9,FALSE)</f>
        <v/>
      </c>
      <c r="K79" s="18">
        <f>VLOOKUP(B79,Real_Estate_Stats_Preferred!$A$2:$G$215,7,FALSE)</f>
        <v>25441428.57</v>
      </c>
      <c r="L79" s="18">
        <f t="shared" si="1"/>
        <v>3974558571</v>
      </c>
      <c r="M79" s="4">
        <v>0.37</v>
      </c>
      <c r="N79" s="4">
        <v>0.05</v>
      </c>
      <c r="O79" s="29">
        <f t="shared" si="2"/>
        <v>198727928.6</v>
      </c>
      <c r="P79" s="29">
        <f t="shared" si="3"/>
        <v>315441156.5</v>
      </c>
      <c r="Q79" s="29">
        <f t="shared" si="4"/>
        <v>116713227.9</v>
      </c>
      <c r="R79" s="4">
        <v>0.075</v>
      </c>
      <c r="S79" s="29">
        <f t="shared" si="5"/>
        <v>228537117.9</v>
      </c>
      <c r="T79" s="29">
        <f t="shared" si="6"/>
        <v>362757329.9</v>
      </c>
      <c r="U79" s="29">
        <f t="shared" si="7"/>
        <v>134220212.1</v>
      </c>
    </row>
    <row r="80" ht="14.25" customHeight="1">
      <c r="A80" s="4">
        <v>78.0</v>
      </c>
      <c r="B80" s="2" t="s">
        <v>319</v>
      </c>
      <c r="C80" s="2" t="s">
        <v>317</v>
      </c>
      <c r="D80" s="3">
        <v>4.0E9</v>
      </c>
      <c r="E80" s="2" t="s">
        <v>100</v>
      </c>
      <c r="F80" s="4" t="str">
        <f>VLOOKUP(B80,Raw_Data_Collection!$B$2:$F$215,5,FALSE)</f>
        <v>N</v>
      </c>
      <c r="G80" s="3" t="str">
        <f>VLOOKUP(B80,Raw_Data_Collection!$B$2:$J$215,6,FALSE)</f>
        <v/>
      </c>
      <c r="J80" s="2" t="str">
        <f>VLOOKUP(B80,Raw_Data_Collection!$B$2:$J$215,9,FALSE)</f>
        <v/>
      </c>
      <c r="K80" s="18">
        <f>VLOOKUP(B80,Real_Estate_Stats_Preferred!$A$2:$G$215,7,FALSE)</f>
        <v>25441428.57</v>
      </c>
      <c r="L80" s="18">
        <f t="shared" si="1"/>
        <v>3974558571</v>
      </c>
      <c r="M80" s="4">
        <v>0.37</v>
      </c>
      <c r="N80" s="4">
        <v>0.05</v>
      </c>
      <c r="O80" s="29">
        <f t="shared" si="2"/>
        <v>198727928.6</v>
      </c>
      <c r="P80" s="29">
        <f t="shared" si="3"/>
        <v>315441156.5</v>
      </c>
      <c r="Q80" s="29">
        <f t="shared" si="4"/>
        <v>116713227.9</v>
      </c>
      <c r="R80" s="4">
        <v>0.075</v>
      </c>
      <c r="S80" s="29">
        <f t="shared" si="5"/>
        <v>228537117.9</v>
      </c>
      <c r="T80" s="29">
        <f t="shared" si="6"/>
        <v>362757329.9</v>
      </c>
      <c r="U80" s="29">
        <f t="shared" si="7"/>
        <v>134220212.1</v>
      </c>
    </row>
    <row r="81" ht="14.25" customHeight="1">
      <c r="A81" s="4">
        <v>79.0</v>
      </c>
      <c r="B81" s="2" t="s">
        <v>320</v>
      </c>
      <c r="C81" s="2" t="s">
        <v>321</v>
      </c>
      <c r="D81" s="3">
        <v>3.8E9</v>
      </c>
      <c r="E81" s="2" t="s">
        <v>47</v>
      </c>
      <c r="F81" s="4" t="str">
        <f>VLOOKUP(B81,Raw_Data_Collection!$B$2:$F$215,5,FALSE)</f>
        <v>N</v>
      </c>
      <c r="G81" s="3">
        <f>VLOOKUP(B81,Raw_Data_Collection!$B$2:$J$215,6,FALSE)</f>
        <v>50000000</v>
      </c>
      <c r="H81" s="8" t="s">
        <v>322</v>
      </c>
      <c r="I81" s="4">
        <v>2023.0</v>
      </c>
      <c r="J81" s="18">
        <f>VLOOKUP(B81,Raw_Data_Collection!$B$2:$J$215,9,FALSE)</f>
        <v>50000000</v>
      </c>
      <c r="K81" s="18">
        <f>VLOOKUP(B81,Real_Estate_Stats_Preferred!$A$2:$G$215,7,FALSE)</f>
        <v>50000000</v>
      </c>
      <c r="L81" s="18">
        <f t="shared" si="1"/>
        <v>3750000000</v>
      </c>
      <c r="M81" s="4">
        <v>0.37</v>
      </c>
      <c r="N81" s="4">
        <v>0.05</v>
      </c>
      <c r="O81" s="29">
        <f t="shared" si="2"/>
        <v>187500000</v>
      </c>
      <c r="P81" s="29">
        <f t="shared" si="3"/>
        <v>297619047.6</v>
      </c>
      <c r="Q81" s="29">
        <f t="shared" si="4"/>
        <v>110119047.6</v>
      </c>
      <c r="R81" s="4">
        <v>0.075</v>
      </c>
      <c r="S81" s="29">
        <f t="shared" si="5"/>
        <v>215625000</v>
      </c>
      <c r="T81" s="29">
        <f t="shared" si="6"/>
        <v>342261904.8</v>
      </c>
      <c r="U81" s="29">
        <f t="shared" si="7"/>
        <v>126636904.8</v>
      </c>
      <c r="V81" s="4">
        <v>2023.0</v>
      </c>
      <c r="W81" s="8" t="s">
        <v>322</v>
      </c>
    </row>
    <row r="82" ht="14.25" customHeight="1">
      <c r="A82" s="4">
        <v>80.0</v>
      </c>
      <c r="B82" s="2" t="s">
        <v>323</v>
      </c>
      <c r="C82" s="2" t="s">
        <v>321</v>
      </c>
      <c r="D82" s="3">
        <v>3.8E9</v>
      </c>
      <c r="E82" s="2" t="s">
        <v>47</v>
      </c>
      <c r="F82" s="4" t="str">
        <f>VLOOKUP(B82,Raw_Data_Collection!$B$2:$F$215,5,FALSE)</f>
        <v>N</v>
      </c>
      <c r="G82" s="3">
        <f>VLOOKUP(B82,Raw_Data_Collection!$B$2:$J$215,6,FALSE)</f>
        <v>6500000</v>
      </c>
      <c r="H82" s="5" t="s">
        <v>324</v>
      </c>
      <c r="I82" s="4">
        <v>2020.0</v>
      </c>
      <c r="J82" s="18">
        <f>VLOOKUP(B82,Raw_Data_Collection!$B$2:$J$215,9,FALSE)</f>
        <v>6500000</v>
      </c>
      <c r="K82" s="18">
        <f>VLOOKUP(B82,Real_Estate_Stats_Preferred!$A$2:$G$215,7,FALSE)</f>
        <v>6500000</v>
      </c>
      <c r="L82" s="18">
        <f t="shared" si="1"/>
        <v>3793500000</v>
      </c>
      <c r="M82" s="4">
        <v>0.37</v>
      </c>
      <c r="N82" s="4">
        <v>0.05</v>
      </c>
      <c r="O82" s="29">
        <f t="shared" si="2"/>
        <v>189675000</v>
      </c>
      <c r="P82" s="29">
        <f t="shared" si="3"/>
        <v>301071428.6</v>
      </c>
      <c r="Q82" s="29">
        <f t="shared" si="4"/>
        <v>111396428.6</v>
      </c>
      <c r="R82" s="4">
        <v>0.075</v>
      </c>
      <c r="S82" s="29">
        <f t="shared" si="5"/>
        <v>218126250</v>
      </c>
      <c r="T82" s="29">
        <f t="shared" si="6"/>
        <v>346232142.9</v>
      </c>
      <c r="U82" s="29">
        <f t="shared" si="7"/>
        <v>128105892.9</v>
      </c>
      <c r="V82" s="4">
        <v>2020.0</v>
      </c>
      <c r="W82" s="5" t="s">
        <v>324</v>
      </c>
      <c r="X82" s="4" t="s">
        <v>325</v>
      </c>
    </row>
    <row r="83" ht="14.25" customHeight="1">
      <c r="A83" s="4">
        <v>81.0</v>
      </c>
      <c r="B83" s="2" t="s">
        <v>326</v>
      </c>
      <c r="C83" s="2" t="s">
        <v>321</v>
      </c>
      <c r="D83" s="3">
        <v>3.8E9</v>
      </c>
      <c r="E83" s="2" t="s">
        <v>47</v>
      </c>
      <c r="F83" s="4" t="str">
        <f>VLOOKUP(B83,Raw_Data_Collection!$B$2:$F$215,5,FALSE)</f>
        <v>N</v>
      </c>
      <c r="G83" s="3">
        <f>VLOOKUP(B83,Raw_Data_Collection!$B$2:$J$215,6,FALSE)</f>
        <v>21000000</v>
      </c>
      <c r="H83" s="5" t="s">
        <v>327</v>
      </c>
      <c r="I83" s="4">
        <v>2020.0</v>
      </c>
      <c r="J83" s="2" t="str">
        <f>VLOOKUP(B83,Raw_Data_Collection!$B$2:$J$215,9,FALSE)</f>
        <v/>
      </c>
      <c r="K83" s="18">
        <f>VLOOKUP(B83,Real_Estate_Stats_Preferred!$A$2:$G$215,7,FALSE)</f>
        <v>21000000</v>
      </c>
      <c r="L83" s="18">
        <f t="shared" si="1"/>
        <v>3779000000</v>
      </c>
      <c r="M83" s="4">
        <v>0.37</v>
      </c>
      <c r="N83" s="4">
        <v>0.05</v>
      </c>
      <c r="O83" s="29">
        <f t="shared" si="2"/>
        <v>188950000</v>
      </c>
      <c r="P83" s="29">
        <f t="shared" si="3"/>
        <v>299920634.9</v>
      </c>
      <c r="Q83" s="29">
        <f t="shared" si="4"/>
        <v>110970634.9</v>
      </c>
      <c r="R83" s="4">
        <v>0.075</v>
      </c>
      <c r="S83" s="29">
        <f t="shared" si="5"/>
        <v>217292500</v>
      </c>
      <c r="T83" s="29">
        <f t="shared" si="6"/>
        <v>344908730.2</v>
      </c>
      <c r="U83" s="29">
        <f t="shared" si="7"/>
        <v>127616230.2</v>
      </c>
      <c r="V83" s="4"/>
      <c r="W83" s="4"/>
    </row>
    <row r="84" ht="14.25" customHeight="1">
      <c r="A84" s="4">
        <v>82.0</v>
      </c>
      <c r="B84" s="2" t="s">
        <v>328</v>
      </c>
      <c r="C84" s="2" t="s">
        <v>321</v>
      </c>
      <c r="D84" s="3">
        <v>3.8E9</v>
      </c>
      <c r="E84" s="2" t="s">
        <v>329</v>
      </c>
      <c r="F84" s="4" t="str">
        <f>VLOOKUP(B84,Raw_Data_Collection!$B$2:$F$215,5,FALSE)</f>
        <v>N</v>
      </c>
      <c r="G84" s="3">
        <f>VLOOKUP(B84,Raw_Data_Collection!$B$2:$J$215,6,FALSE)</f>
        <v>1977425</v>
      </c>
      <c r="H84" s="5" t="s">
        <v>330</v>
      </c>
      <c r="I84" s="4">
        <v>2026.0</v>
      </c>
      <c r="J84" s="2" t="str">
        <f>VLOOKUP(B84,Raw_Data_Collection!$B$2:$J$215,9,FALSE)</f>
        <v/>
      </c>
      <c r="K84" s="18">
        <f>VLOOKUP(B84,Real_Estate_Stats_Preferred!$A$2:$G$215,7,FALSE)</f>
        <v>1977425</v>
      </c>
      <c r="L84" s="18">
        <f t="shared" si="1"/>
        <v>3798022575</v>
      </c>
      <c r="M84" s="4">
        <v>0.37</v>
      </c>
      <c r="N84" s="4">
        <v>0.05</v>
      </c>
      <c r="O84" s="29">
        <f t="shared" si="2"/>
        <v>189901128.8</v>
      </c>
      <c r="P84" s="29">
        <f t="shared" si="3"/>
        <v>301430363.1</v>
      </c>
      <c r="Q84" s="29">
        <f t="shared" si="4"/>
        <v>111529234.3</v>
      </c>
      <c r="R84" s="4">
        <v>0.075</v>
      </c>
      <c r="S84" s="29">
        <f t="shared" si="5"/>
        <v>218386298.1</v>
      </c>
      <c r="T84" s="29">
        <f t="shared" si="6"/>
        <v>346644917.6</v>
      </c>
      <c r="U84" s="29">
        <f t="shared" si="7"/>
        <v>128258619.5</v>
      </c>
      <c r="V84" s="4"/>
      <c r="W84" s="4"/>
      <c r="X84" s="7" t="s">
        <v>838</v>
      </c>
    </row>
    <row r="85" ht="14.25" customHeight="1">
      <c r="A85" s="4">
        <v>83.0</v>
      </c>
      <c r="B85" s="2" t="s">
        <v>332</v>
      </c>
      <c r="C85" s="2" t="s">
        <v>333</v>
      </c>
      <c r="D85" s="3">
        <v>3.7E9</v>
      </c>
      <c r="E85" s="2" t="s">
        <v>100</v>
      </c>
      <c r="F85" s="4" t="str">
        <f>VLOOKUP(B85,Raw_Data_Collection!$B$2:$F$215,5,FALSE)</f>
        <v>N</v>
      </c>
      <c r="G85" s="3">
        <f>VLOOKUP(B85,Raw_Data_Collection!$B$2:$J$215,6,FALSE)</f>
        <v>29250000</v>
      </c>
      <c r="J85" s="2" t="str">
        <f>VLOOKUP(B85,Raw_Data_Collection!$B$2:$J$215,9,FALSE)</f>
        <v/>
      </c>
      <c r="K85" s="18">
        <f>VLOOKUP(B85,Real_Estate_Stats_Preferred!$A$2:$G$215,7,FALSE)</f>
        <v>29250000</v>
      </c>
      <c r="L85" s="18">
        <f t="shared" si="1"/>
        <v>3670750000</v>
      </c>
      <c r="M85" s="4">
        <v>0.37</v>
      </c>
      <c r="N85" s="4">
        <v>0.05</v>
      </c>
      <c r="O85" s="29">
        <f t="shared" si="2"/>
        <v>183537500</v>
      </c>
      <c r="P85" s="29">
        <f t="shared" si="3"/>
        <v>291329365.1</v>
      </c>
      <c r="Q85" s="29">
        <f t="shared" si="4"/>
        <v>107791865.1</v>
      </c>
      <c r="R85" s="4">
        <v>0.075</v>
      </c>
      <c r="S85" s="29">
        <f t="shared" si="5"/>
        <v>211068125</v>
      </c>
      <c r="T85" s="29">
        <f t="shared" si="6"/>
        <v>335028769.8</v>
      </c>
      <c r="U85" s="29">
        <f t="shared" si="7"/>
        <v>123960644.8</v>
      </c>
    </row>
    <row r="86" ht="14.25" customHeight="1">
      <c r="A86" s="4">
        <v>84.0</v>
      </c>
      <c r="B86" s="2" t="s">
        <v>336</v>
      </c>
      <c r="C86" s="2" t="s">
        <v>333</v>
      </c>
      <c r="D86" s="3">
        <v>3.7E9</v>
      </c>
      <c r="E86" s="2" t="s">
        <v>47</v>
      </c>
      <c r="F86" s="4" t="str">
        <f>VLOOKUP(B86,Raw_Data_Collection!$B$2:$F$215,5,FALSE)</f>
        <v>N</v>
      </c>
      <c r="G86" s="3">
        <f>VLOOKUP(B86,Raw_Data_Collection!$B$2:$J$215,6,FALSE)</f>
        <v>30000000</v>
      </c>
      <c r="H86" s="5" t="s">
        <v>337</v>
      </c>
      <c r="I86" s="4">
        <v>2017.0</v>
      </c>
      <c r="J86" s="2" t="str">
        <f>VLOOKUP(B86,Raw_Data_Collection!$B$2:$J$215,9,FALSE)</f>
        <v/>
      </c>
      <c r="K86" s="18">
        <f>VLOOKUP(B86,Real_Estate_Stats_Preferred!$A$2:$G$215,7,FALSE)</f>
        <v>30000000</v>
      </c>
      <c r="L86" s="18">
        <f t="shared" si="1"/>
        <v>3670000000</v>
      </c>
      <c r="M86" s="4">
        <v>0.37</v>
      </c>
      <c r="N86" s="4">
        <v>0.05</v>
      </c>
      <c r="O86" s="29">
        <f t="shared" si="2"/>
        <v>183500000</v>
      </c>
      <c r="P86" s="29">
        <f t="shared" si="3"/>
        <v>291269841.3</v>
      </c>
      <c r="Q86" s="29">
        <f t="shared" si="4"/>
        <v>107769841.3</v>
      </c>
      <c r="R86" s="4">
        <v>0.075</v>
      </c>
      <c r="S86" s="29">
        <f t="shared" si="5"/>
        <v>211025000</v>
      </c>
      <c r="T86" s="29">
        <f t="shared" si="6"/>
        <v>334960317.5</v>
      </c>
      <c r="U86" s="29">
        <f t="shared" si="7"/>
        <v>123935317.5</v>
      </c>
      <c r="V86" s="4"/>
      <c r="W86" s="4"/>
    </row>
    <row r="87" ht="14.25" customHeight="1">
      <c r="A87" s="4">
        <v>85.0</v>
      </c>
      <c r="B87" s="2" t="s">
        <v>338</v>
      </c>
      <c r="C87" s="2" t="s">
        <v>333</v>
      </c>
      <c r="D87" s="3">
        <v>3.7E9</v>
      </c>
      <c r="E87" s="2" t="s">
        <v>339</v>
      </c>
      <c r="F87" s="4" t="str">
        <f>VLOOKUP(B87,Raw_Data_Collection!$B$2:$F$215,5,FALSE)</f>
        <v>N</v>
      </c>
      <c r="G87" s="3" t="str">
        <f>VLOOKUP(B87,Raw_Data_Collection!$B$2:$J$215,6,FALSE)</f>
        <v/>
      </c>
      <c r="J87" s="2" t="str">
        <f>VLOOKUP(B87,Raw_Data_Collection!$B$2:$J$215,9,FALSE)</f>
        <v/>
      </c>
      <c r="K87" s="18">
        <f>VLOOKUP(B87,Real_Estate_Stats_Preferred!$A$2:$G$215,7,FALSE)</f>
        <v>23533321.43</v>
      </c>
      <c r="L87" s="18">
        <f t="shared" si="1"/>
        <v>3676466679</v>
      </c>
      <c r="M87" s="4">
        <v>0.37</v>
      </c>
      <c r="N87" s="4">
        <v>0.05</v>
      </c>
      <c r="O87" s="29">
        <f t="shared" si="2"/>
        <v>183823333.9</v>
      </c>
      <c r="P87" s="29">
        <f t="shared" si="3"/>
        <v>291783069.7</v>
      </c>
      <c r="Q87" s="29">
        <f t="shared" si="4"/>
        <v>107959735.8</v>
      </c>
      <c r="R87" s="4">
        <v>0.075</v>
      </c>
      <c r="S87" s="29">
        <f t="shared" si="5"/>
        <v>211396834</v>
      </c>
      <c r="T87" s="29">
        <f t="shared" si="6"/>
        <v>335550530.2</v>
      </c>
      <c r="U87" s="29">
        <f t="shared" si="7"/>
        <v>124153696.2</v>
      </c>
    </row>
    <row r="88" ht="14.25" customHeight="1">
      <c r="A88" s="4">
        <v>86.0</v>
      </c>
      <c r="B88" s="2" t="s">
        <v>340</v>
      </c>
      <c r="C88" s="2" t="s">
        <v>333</v>
      </c>
      <c r="D88" s="3">
        <v>3.7E9</v>
      </c>
      <c r="E88" s="2" t="s">
        <v>100</v>
      </c>
      <c r="F88" s="4" t="str">
        <f>VLOOKUP(B88,Raw_Data_Collection!$B$2:$F$215,5,FALSE)</f>
        <v>N</v>
      </c>
      <c r="G88" s="3" t="str">
        <f>VLOOKUP(B88,Raw_Data_Collection!$B$2:$J$215,6,FALSE)</f>
        <v/>
      </c>
      <c r="J88" s="2" t="str">
        <f>VLOOKUP(B88,Raw_Data_Collection!$B$2:$J$215,9,FALSE)</f>
        <v/>
      </c>
      <c r="K88" s="18">
        <f>VLOOKUP(B88,Real_Estate_Stats_Preferred!$A$2:$G$215,7,FALSE)</f>
        <v>23533321.43</v>
      </c>
      <c r="L88" s="18">
        <f t="shared" si="1"/>
        <v>3676466679</v>
      </c>
      <c r="M88" s="4">
        <v>0.37</v>
      </c>
      <c r="N88" s="4">
        <v>0.05</v>
      </c>
      <c r="O88" s="29">
        <f t="shared" si="2"/>
        <v>183823333.9</v>
      </c>
      <c r="P88" s="29">
        <f t="shared" si="3"/>
        <v>291783069.7</v>
      </c>
      <c r="Q88" s="29">
        <f t="shared" si="4"/>
        <v>107959735.8</v>
      </c>
      <c r="R88" s="4">
        <v>0.075</v>
      </c>
      <c r="S88" s="29">
        <f t="shared" si="5"/>
        <v>211396834</v>
      </c>
      <c r="T88" s="29">
        <f t="shared" si="6"/>
        <v>335550530.2</v>
      </c>
      <c r="U88" s="29">
        <f t="shared" si="7"/>
        <v>124153696.2</v>
      </c>
    </row>
    <row r="89" ht="14.25" customHeight="1">
      <c r="A89" s="4">
        <v>87.0</v>
      </c>
      <c r="B89" s="2" t="s">
        <v>341</v>
      </c>
      <c r="C89" s="2" t="s">
        <v>333</v>
      </c>
      <c r="D89" s="3">
        <v>3.7E9</v>
      </c>
      <c r="E89" s="2" t="s">
        <v>100</v>
      </c>
      <c r="F89" s="4" t="str">
        <f>VLOOKUP(B89,Raw_Data_Collection!$B$2:$F$215,5,FALSE)</f>
        <v>N</v>
      </c>
      <c r="G89" s="3">
        <f>VLOOKUP(B89,Raw_Data_Collection!$B$2:$J$215,6,FALSE)</f>
        <v>2572000</v>
      </c>
      <c r="J89" s="2" t="str">
        <f>VLOOKUP(B89,Raw_Data_Collection!$B$2:$J$215,9,FALSE)</f>
        <v/>
      </c>
      <c r="K89" s="18">
        <f>VLOOKUP(B89,Real_Estate_Stats_Preferred!$A$2:$G$215,7,FALSE)</f>
        <v>2572000</v>
      </c>
      <c r="L89" s="18">
        <f t="shared" si="1"/>
        <v>3697428000</v>
      </c>
      <c r="M89" s="4">
        <v>0.37</v>
      </c>
      <c r="N89" s="4">
        <v>0.05</v>
      </c>
      <c r="O89" s="29">
        <f t="shared" si="2"/>
        <v>184871400</v>
      </c>
      <c r="P89" s="29">
        <f t="shared" si="3"/>
        <v>293446666.7</v>
      </c>
      <c r="Q89" s="29">
        <f t="shared" si="4"/>
        <v>108575266.7</v>
      </c>
      <c r="R89" s="4">
        <v>0.075</v>
      </c>
      <c r="S89" s="29">
        <f t="shared" si="5"/>
        <v>212602110</v>
      </c>
      <c r="T89" s="29">
        <f t="shared" si="6"/>
        <v>337463666.7</v>
      </c>
      <c r="U89" s="29">
        <f t="shared" si="7"/>
        <v>124861556.7</v>
      </c>
    </row>
    <row r="90" ht="14.25" customHeight="1">
      <c r="A90" s="4">
        <v>88.0</v>
      </c>
      <c r="B90" s="2" t="s">
        <v>344</v>
      </c>
      <c r="C90" s="2" t="s">
        <v>333</v>
      </c>
      <c r="D90" s="3">
        <v>3.7E9</v>
      </c>
      <c r="E90" s="2" t="s">
        <v>100</v>
      </c>
      <c r="F90" s="4" t="str">
        <f>VLOOKUP(B90,Raw_Data_Collection!$B$2:$F$215,5,FALSE)</f>
        <v>N</v>
      </c>
      <c r="G90" s="3" t="str">
        <f>VLOOKUP(B90,Raw_Data_Collection!$B$2:$J$215,6,FALSE)</f>
        <v/>
      </c>
      <c r="J90" s="2" t="str">
        <f>VLOOKUP(B90,Raw_Data_Collection!$B$2:$J$215,9,FALSE)</f>
        <v/>
      </c>
      <c r="K90" s="18">
        <f>VLOOKUP(B90,Real_Estate_Stats_Preferred!$A$2:$G$215,7,FALSE)</f>
        <v>23533321.43</v>
      </c>
      <c r="L90" s="18">
        <f t="shared" si="1"/>
        <v>3676466679</v>
      </c>
      <c r="M90" s="4">
        <v>0.37</v>
      </c>
      <c r="N90" s="4">
        <v>0.05</v>
      </c>
      <c r="O90" s="29">
        <f t="shared" si="2"/>
        <v>183823333.9</v>
      </c>
      <c r="P90" s="29">
        <f t="shared" si="3"/>
        <v>291783069.7</v>
      </c>
      <c r="Q90" s="29">
        <f t="shared" si="4"/>
        <v>107959735.8</v>
      </c>
      <c r="R90" s="4">
        <v>0.075</v>
      </c>
      <c r="S90" s="29">
        <f t="shared" si="5"/>
        <v>211396834</v>
      </c>
      <c r="T90" s="29">
        <f t="shared" si="6"/>
        <v>335550530.2</v>
      </c>
      <c r="U90" s="29">
        <f t="shared" si="7"/>
        <v>124153696.2</v>
      </c>
    </row>
    <row r="91" ht="14.25" customHeight="1">
      <c r="A91" s="4">
        <v>89.0</v>
      </c>
      <c r="B91" s="2" t="s">
        <v>345</v>
      </c>
      <c r="C91" s="2" t="s">
        <v>333</v>
      </c>
      <c r="D91" s="3">
        <v>3.7E9</v>
      </c>
      <c r="E91" s="2" t="s">
        <v>100</v>
      </c>
      <c r="F91" s="4" t="str">
        <f>VLOOKUP(B91,Raw_Data_Collection!$B$2:$F$215,5,FALSE)</f>
        <v>N</v>
      </c>
      <c r="G91" s="3">
        <f>VLOOKUP(B91,Raw_Data_Collection!$B$2:$J$215,6,FALSE)</f>
        <v>4831145</v>
      </c>
      <c r="J91" s="2" t="str">
        <f>VLOOKUP(B91,Raw_Data_Collection!$B$2:$J$215,9,FALSE)</f>
        <v/>
      </c>
      <c r="K91" s="18">
        <f>VLOOKUP(B91,Real_Estate_Stats_Preferred!$A$2:$G$215,7,FALSE)</f>
        <v>4831145</v>
      </c>
      <c r="L91" s="18">
        <f t="shared" si="1"/>
        <v>3695168855</v>
      </c>
      <c r="M91" s="4">
        <v>0.37</v>
      </c>
      <c r="N91" s="4">
        <v>0.05</v>
      </c>
      <c r="O91" s="29">
        <f t="shared" si="2"/>
        <v>184758442.8</v>
      </c>
      <c r="P91" s="29">
        <f t="shared" si="3"/>
        <v>293267369.4</v>
      </c>
      <c r="Q91" s="29">
        <f t="shared" si="4"/>
        <v>108508926.7</v>
      </c>
      <c r="R91" s="4">
        <v>0.075</v>
      </c>
      <c r="S91" s="29">
        <f t="shared" si="5"/>
        <v>212472209.2</v>
      </c>
      <c r="T91" s="29">
        <f t="shared" si="6"/>
        <v>337257474.9</v>
      </c>
      <c r="U91" s="29">
        <f t="shared" si="7"/>
        <v>124785265.7</v>
      </c>
    </row>
    <row r="92" ht="14.25" customHeight="1">
      <c r="A92" s="4">
        <v>90.0</v>
      </c>
      <c r="B92" s="2" t="s">
        <v>348</v>
      </c>
      <c r="C92" s="2" t="s">
        <v>333</v>
      </c>
      <c r="D92" s="3">
        <v>3.7E9</v>
      </c>
      <c r="E92" s="2" t="s">
        <v>100</v>
      </c>
      <c r="F92" s="4" t="str">
        <f>VLOOKUP(B92,Raw_Data_Collection!$B$2:$F$215,5,FALSE)</f>
        <v>N</v>
      </c>
      <c r="G92" s="3" t="str">
        <f>VLOOKUP(B92,Raw_Data_Collection!$B$2:$J$215,6,FALSE)</f>
        <v/>
      </c>
      <c r="J92" s="2" t="str">
        <f>VLOOKUP(B92,Raw_Data_Collection!$B$2:$J$215,9,FALSE)</f>
        <v/>
      </c>
      <c r="K92" s="18">
        <f>VLOOKUP(B92,Real_Estate_Stats_Preferred!$A$2:$G$215,7,FALSE)</f>
        <v>23533321.43</v>
      </c>
      <c r="L92" s="18">
        <f t="shared" si="1"/>
        <v>3676466679</v>
      </c>
      <c r="M92" s="4">
        <v>0.37</v>
      </c>
      <c r="N92" s="4">
        <v>0.05</v>
      </c>
      <c r="O92" s="29">
        <f t="shared" si="2"/>
        <v>183823333.9</v>
      </c>
      <c r="P92" s="29">
        <f t="shared" si="3"/>
        <v>291783069.7</v>
      </c>
      <c r="Q92" s="29">
        <f t="shared" si="4"/>
        <v>107959735.8</v>
      </c>
      <c r="R92" s="4">
        <v>0.075</v>
      </c>
      <c r="S92" s="29">
        <f t="shared" si="5"/>
        <v>211396834</v>
      </c>
      <c r="T92" s="29">
        <f t="shared" si="6"/>
        <v>335550530.2</v>
      </c>
      <c r="U92" s="29">
        <f t="shared" si="7"/>
        <v>124153696.2</v>
      </c>
    </row>
    <row r="93" ht="14.25" customHeight="1">
      <c r="A93" s="4">
        <v>91.0</v>
      </c>
      <c r="B93" s="2" t="s">
        <v>349</v>
      </c>
      <c r="C93" s="2" t="s">
        <v>350</v>
      </c>
      <c r="D93" s="3">
        <v>3.6E9</v>
      </c>
      <c r="E93" s="2" t="s">
        <v>47</v>
      </c>
      <c r="F93" s="4" t="str">
        <f>VLOOKUP(B93,Raw_Data_Collection!$B$2:$F$215,5,FALSE)</f>
        <v>N</v>
      </c>
      <c r="G93" s="3">
        <f>VLOOKUP(B93,Raw_Data_Collection!$B$2:$J$215,6,FALSE)</f>
        <v>12982483</v>
      </c>
      <c r="H93" s="5" t="s">
        <v>351</v>
      </c>
      <c r="I93" s="4">
        <v>2026.0</v>
      </c>
      <c r="J93" s="2" t="str">
        <f>VLOOKUP(B93,Raw_Data_Collection!$B$2:$J$215,9,FALSE)</f>
        <v/>
      </c>
      <c r="K93" s="18">
        <f>VLOOKUP(B93,Real_Estate_Stats_Preferred!$A$2:$G$215,7,FALSE)</f>
        <v>12982483</v>
      </c>
      <c r="L93" s="18">
        <f t="shared" si="1"/>
        <v>3587017517</v>
      </c>
      <c r="M93" s="4">
        <v>0.37</v>
      </c>
      <c r="N93" s="4">
        <v>0.05</v>
      </c>
      <c r="O93" s="29">
        <f t="shared" si="2"/>
        <v>179350875.9</v>
      </c>
      <c r="P93" s="29">
        <f t="shared" si="3"/>
        <v>284683929.9</v>
      </c>
      <c r="Q93" s="29">
        <f t="shared" si="4"/>
        <v>105333054.1</v>
      </c>
      <c r="R93" s="4">
        <v>0.075</v>
      </c>
      <c r="S93" s="29">
        <f t="shared" si="5"/>
        <v>206253507.2</v>
      </c>
      <c r="T93" s="29">
        <f t="shared" si="6"/>
        <v>327386519.4</v>
      </c>
      <c r="U93" s="29">
        <f t="shared" si="7"/>
        <v>121133012.2</v>
      </c>
      <c r="V93" s="4"/>
      <c r="W93" s="4"/>
      <c r="X93" s="10" t="s">
        <v>839</v>
      </c>
    </row>
    <row r="94" ht="14.25" customHeight="1">
      <c r="A94" s="4">
        <v>92.0</v>
      </c>
      <c r="B94" s="2" t="s">
        <v>353</v>
      </c>
      <c r="C94" s="2" t="s">
        <v>350</v>
      </c>
      <c r="D94" s="3">
        <v>3.6E9</v>
      </c>
      <c r="E94" s="2" t="s">
        <v>354</v>
      </c>
      <c r="F94" s="4" t="str">
        <f>VLOOKUP(B94,Raw_Data_Collection!$B$2:$F$215,5,FALSE)</f>
        <v>N</v>
      </c>
      <c r="G94" s="3" t="str">
        <f>VLOOKUP(B94,Raw_Data_Collection!$B$2:$J$215,6,FALSE)</f>
        <v/>
      </c>
      <c r="J94" s="2" t="str">
        <f>VLOOKUP(B94,Raw_Data_Collection!$B$2:$J$215,9,FALSE)</f>
        <v/>
      </c>
      <c r="K94" s="18">
        <f>VLOOKUP(B94,Real_Estate_Stats_Preferred!$A$2:$G$215,7,FALSE)</f>
        <v>22897285.71</v>
      </c>
      <c r="L94" s="18">
        <f t="shared" si="1"/>
        <v>3577102714</v>
      </c>
      <c r="M94" s="4">
        <v>0.37</v>
      </c>
      <c r="N94" s="4">
        <v>0.05</v>
      </c>
      <c r="O94" s="29">
        <f t="shared" si="2"/>
        <v>178855135.7</v>
      </c>
      <c r="P94" s="29">
        <f t="shared" si="3"/>
        <v>283897040.8</v>
      </c>
      <c r="Q94" s="29">
        <f t="shared" si="4"/>
        <v>105041905.1</v>
      </c>
      <c r="R94" s="4">
        <v>0.075</v>
      </c>
      <c r="S94" s="29">
        <f t="shared" si="5"/>
        <v>205683406.1</v>
      </c>
      <c r="T94" s="29">
        <f t="shared" si="6"/>
        <v>326481596.9</v>
      </c>
      <c r="U94" s="29">
        <f t="shared" si="7"/>
        <v>120798190.9</v>
      </c>
    </row>
    <row r="95" ht="14.25" customHeight="1">
      <c r="A95" s="4">
        <v>93.0</v>
      </c>
      <c r="B95" s="2" t="s">
        <v>355</v>
      </c>
      <c r="C95" s="2" t="s">
        <v>350</v>
      </c>
      <c r="D95" s="3">
        <v>3.6E9</v>
      </c>
      <c r="E95" s="2" t="s">
        <v>17</v>
      </c>
      <c r="F95" s="4" t="str">
        <f>VLOOKUP(B95,Raw_Data_Collection!$B$2:$F$215,5,FALSE)</f>
        <v>N</v>
      </c>
      <c r="G95" s="3">
        <f>VLOOKUP(B95,Raw_Data_Collection!$B$2:$J$215,6,FALSE)</f>
        <v>13784748</v>
      </c>
      <c r="H95" s="5" t="s">
        <v>356</v>
      </c>
      <c r="I95" s="4">
        <v>2026.0</v>
      </c>
      <c r="J95" s="2" t="str">
        <f>VLOOKUP(B95,Raw_Data_Collection!$B$2:$J$215,9,FALSE)</f>
        <v/>
      </c>
      <c r="K95" s="18">
        <f>VLOOKUP(B95,Real_Estate_Stats_Preferred!$A$2:$G$215,7,FALSE)</f>
        <v>13784748</v>
      </c>
      <c r="L95" s="18">
        <f t="shared" si="1"/>
        <v>3586215252</v>
      </c>
      <c r="M95" s="4">
        <v>0.37</v>
      </c>
      <c r="N95" s="4">
        <v>0.05</v>
      </c>
      <c r="O95" s="29">
        <f t="shared" si="2"/>
        <v>179310762.6</v>
      </c>
      <c r="P95" s="29">
        <f t="shared" si="3"/>
        <v>284620258.1</v>
      </c>
      <c r="Q95" s="29">
        <f t="shared" si="4"/>
        <v>105309495.5</v>
      </c>
      <c r="R95" s="4">
        <v>0.075</v>
      </c>
      <c r="S95" s="29">
        <f t="shared" si="5"/>
        <v>206207377</v>
      </c>
      <c r="T95" s="29">
        <f t="shared" si="6"/>
        <v>327313296.8</v>
      </c>
      <c r="U95" s="29">
        <f t="shared" si="7"/>
        <v>121105919.8</v>
      </c>
      <c r="V95" s="4"/>
      <c r="W95" s="4"/>
      <c r="X95" s="10" t="s">
        <v>840</v>
      </c>
    </row>
    <row r="96" ht="14.25" customHeight="1">
      <c r="A96" s="4">
        <v>94.0</v>
      </c>
      <c r="B96" s="2" t="s">
        <v>358</v>
      </c>
      <c r="C96" s="2" t="s">
        <v>359</v>
      </c>
      <c r="D96" s="3">
        <v>3.5E9</v>
      </c>
      <c r="E96" s="2" t="s">
        <v>17</v>
      </c>
      <c r="F96" s="4" t="str">
        <f>VLOOKUP(B96,Raw_Data_Collection!$B$2:$F$215,5,FALSE)</f>
        <v>N</v>
      </c>
      <c r="G96" s="3" t="str">
        <f>VLOOKUP(B96,Raw_Data_Collection!$B$2:$J$215,6,FALSE)</f>
        <v/>
      </c>
      <c r="J96" s="2" t="str">
        <f>VLOOKUP(B96,Raw_Data_Collection!$B$2:$J$215,9,FALSE)</f>
        <v/>
      </c>
      <c r="K96" s="18">
        <f>VLOOKUP(B96,Real_Estate_Stats_Preferred!$A$2:$G$215,7,FALSE)</f>
        <v>22261250</v>
      </c>
      <c r="L96" s="18">
        <f t="shared" si="1"/>
        <v>3477738750</v>
      </c>
      <c r="M96" s="4">
        <v>0.37</v>
      </c>
      <c r="N96" s="4">
        <v>0.05</v>
      </c>
      <c r="O96" s="29">
        <f t="shared" si="2"/>
        <v>173886937.5</v>
      </c>
      <c r="P96" s="29">
        <f t="shared" si="3"/>
        <v>276011011.9</v>
      </c>
      <c r="Q96" s="29">
        <f t="shared" si="4"/>
        <v>102124074.4</v>
      </c>
      <c r="R96" s="4">
        <v>0.075</v>
      </c>
      <c r="S96" s="29">
        <f t="shared" si="5"/>
        <v>199969978.1</v>
      </c>
      <c r="T96" s="29">
        <f t="shared" si="6"/>
        <v>317412663.7</v>
      </c>
      <c r="U96" s="29">
        <f t="shared" si="7"/>
        <v>117442685.6</v>
      </c>
    </row>
    <row r="97" ht="14.25" customHeight="1">
      <c r="A97" s="4">
        <v>95.0</v>
      </c>
      <c r="B97" s="2" t="s">
        <v>360</v>
      </c>
      <c r="C97" s="2" t="s">
        <v>359</v>
      </c>
      <c r="D97" s="3">
        <v>3.5E9</v>
      </c>
      <c r="E97" s="2" t="s">
        <v>17</v>
      </c>
      <c r="F97" s="4" t="str">
        <f>VLOOKUP(B97,Raw_Data_Collection!$B$2:$F$215,5,FALSE)</f>
        <v>N</v>
      </c>
      <c r="G97" s="3">
        <f>VLOOKUP(B97,Raw_Data_Collection!$B$2:$J$215,6,FALSE)</f>
        <v>86000000</v>
      </c>
      <c r="H97" s="5" t="s">
        <v>361</v>
      </c>
      <c r="I97" s="4">
        <v>2019.0</v>
      </c>
      <c r="J97" s="2" t="str">
        <f>VLOOKUP(B97,Raw_Data_Collection!$B$2:$J$215,9,FALSE)</f>
        <v/>
      </c>
      <c r="K97" s="18">
        <f>VLOOKUP(B97,Real_Estate_Stats_Preferred!$A$2:$G$215,7,FALSE)</f>
        <v>86000000</v>
      </c>
      <c r="L97" s="18">
        <f t="shared" si="1"/>
        <v>3414000000</v>
      </c>
      <c r="M97" s="4">
        <v>0.37</v>
      </c>
      <c r="N97" s="4">
        <v>0.05</v>
      </c>
      <c r="O97" s="29">
        <f t="shared" si="2"/>
        <v>170700000</v>
      </c>
      <c r="P97" s="29">
        <f t="shared" si="3"/>
        <v>270952381</v>
      </c>
      <c r="Q97" s="29">
        <f t="shared" si="4"/>
        <v>100252381</v>
      </c>
      <c r="R97" s="4">
        <v>0.075</v>
      </c>
      <c r="S97" s="29">
        <f t="shared" si="5"/>
        <v>196305000</v>
      </c>
      <c r="T97" s="29">
        <f t="shared" si="6"/>
        <v>311595238.1</v>
      </c>
      <c r="U97" s="29">
        <f t="shared" si="7"/>
        <v>115290238.1</v>
      </c>
      <c r="V97" s="4"/>
      <c r="W97" s="4"/>
      <c r="X97" s="4" t="s">
        <v>362</v>
      </c>
    </row>
    <row r="98" ht="14.25" customHeight="1">
      <c r="A98" s="4">
        <v>96.0</v>
      </c>
      <c r="B98" s="2" t="s">
        <v>363</v>
      </c>
      <c r="C98" s="2" t="s">
        <v>359</v>
      </c>
      <c r="D98" s="3">
        <v>3.5E9</v>
      </c>
      <c r="E98" s="2" t="s">
        <v>47</v>
      </c>
      <c r="F98" s="4" t="str">
        <f>VLOOKUP(B98,Raw_Data_Collection!$B$2:$F$215,5,FALSE)</f>
        <v>N</v>
      </c>
      <c r="G98" s="3">
        <f>VLOOKUP(B98,Raw_Data_Collection!$B$2:$J$215,6,FALSE)</f>
        <v>43300000</v>
      </c>
      <c r="H98" s="5" t="s">
        <v>364</v>
      </c>
      <c r="I98" s="4">
        <v>2020.0</v>
      </c>
      <c r="J98" s="2" t="str">
        <f>VLOOKUP(B98,Raw_Data_Collection!$B$2:$J$215,9,FALSE)</f>
        <v/>
      </c>
      <c r="K98" s="18">
        <f>VLOOKUP(B98,Real_Estate_Stats_Preferred!$A$2:$G$215,7,FALSE)</f>
        <v>43300000</v>
      </c>
      <c r="L98" s="18">
        <f t="shared" si="1"/>
        <v>3456700000</v>
      </c>
      <c r="M98" s="4">
        <v>0.37</v>
      </c>
      <c r="N98" s="4">
        <v>0.05</v>
      </c>
      <c r="O98" s="29">
        <f t="shared" si="2"/>
        <v>172835000</v>
      </c>
      <c r="P98" s="29">
        <f t="shared" si="3"/>
        <v>274341269.8</v>
      </c>
      <c r="Q98" s="29">
        <f t="shared" si="4"/>
        <v>101506269.8</v>
      </c>
      <c r="R98" s="4">
        <v>0.075</v>
      </c>
      <c r="S98" s="29">
        <f t="shared" si="5"/>
        <v>198760250</v>
      </c>
      <c r="T98" s="29">
        <f t="shared" si="6"/>
        <v>315492460.3</v>
      </c>
      <c r="U98" s="29">
        <f t="shared" si="7"/>
        <v>116732210.3</v>
      </c>
      <c r="V98" s="4"/>
      <c r="W98" s="4"/>
      <c r="Y98" s="5" t="s">
        <v>171</v>
      </c>
    </row>
    <row r="99" ht="14.25" customHeight="1">
      <c r="A99" s="4">
        <v>97.0</v>
      </c>
      <c r="B99" s="2" t="s">
        <v>365</v>
      </c>
      <c r="C99" s="2" t="s">
        <v>359</v>
      </c>
      <c r="D99" s="3">
        <v>3.5E9</v>
      </c>
      <c r="E99" s="2" t="s">
        <v>52</v>
      </c>
      <c r="F99" s="4" t="str">
        <f>VLOOKUP(B99,Raw_Data_Collection!$B$2:$F$215,5,FALSE)</f>
        <v>N</v>
      </c>
      <c r="G99" s="3">
        <f>VLOOKUP(B99,Raw_Data_Collection!$B$2:$J$215,6,FALSE)</f>
        <v>12500000</v>
      </c>
      <c r="H99" s="5" t="s">
        <v>366</v>
      </c>
      <c r="I99" s="4">
        <v>2024.0</v>
      </c>
      <c r="J99" s="2" t="str">
        <f>VLOOKUP(B99,Raw_Data_Collection!$B$2:$J$215,9,FALSE)</f>
        <v/>
      </c>
      <c r="K99" s="18">
        <f>VLOOKUP(B99,Real_Estate_Stats_Preferred!$A$2:$G$215,7,FALSE)</f>
        <v>12500000</v>
      </c>
      <c r="L99" s="18">
        <f t="shared" si="1"/>
        <v>3487500000</v>
      </c>
      <c r="M99" s="4">
        <v>0.37</v>
      </c>
      <c r="N99" s="4">
        <v>0.05</v>
      </c>
      <c r="O99" s="29">
        <f t="shared" si="2"/>
        <v>174375000</v>
      </c>
      <c r="P99" s="29">
        <f t="shared" si="3"/>
        <v>276785714.3</v>
      </c>
      <c r="Q99" s="29">
        <f t="shared" si="4"/>
        <v>102410714.3</v>
      </c>
      <c r="R99" s="4">
        <v>0.075</v>
      </c>
      <c r="S99" s="29">
        <f t="shared" si="5"/>
        <v>200531250</v>
      </c>
      <c r="T99" s="29">
        <f t="shared" si="6"/>
        <v>318303571.4</v>
      </c>
      <c r="U99" s="29">
        <f t="shared" si="7"/>
        <v>117772321.4</v>
      </c>
      <c r="V99" s="4"/>
      <c r="W99" s="4"/>
      <c r="X99" s="4" t="s">
        <v>367</v>
      </c>
      <c r="Y99" s="5" t="s">
        <v>368</v>
      </c>
    </row>
    <row r="100" ht="14.25" customHeight="1">
      <c r="A100" s="4">
        <v>98.0</v>
      </c>
      <c r="B100" s="2" t="s">
        <v>369</v>
      </c>
      <c r="C100" s="2" t="s">
        <v>370</v>
      </c>
      <c r="D100" s="3">
        <v>3.4E9</v>
      </c>
      <c r="E100" s="2" t="s">
        <v>100</v>
      </c>
      <c r="F100" s="4" t="str">
        <f>VLOOKUP(B100,Raw_Data_Collection!$B$2:$F$215,5,FALSE)</f>
        <v>N</v>
      </c>
      <c r="G100" s="3" t="str">
        <f>VLOOKUP(B100,Raw_Data_Collection!$B$2:$J$215,6,FALSE)</f>
        <v/>
      </c>
      <c r="J100" s="2" t="str">
        <f>VLOOKUP(B100,Raw_Data_Collection!$B$2:$J$215,9,FALSE)</f>
        <v/>
      </c>
      <c r="K100" s="18">
        <f>VLOOKUP(B100,Real_Estate_Stats_Preferred!$A$2:$G$215,7,FALSE)</f>
        <v>21625214.29</v>
      </c>
      <c r="L100" s="18">
        <f t="shared" si="1"/>
        <v>3378374786</v>
      </c>
      <c r="M100" s="4">
        <v>0.37</v>
      </c>
      <c r="N100" s="4">
        <v>0.05</v>
      </c>
      <c r="O100" s="29">
        <f t="shared" si="2"/>
        <v>168918739.3</v>
      </c>
      <c r="P100" s="29">
        <f t="shared" si="3"/>
        <v>268124983</v>
      </c>
      <c r="Q100" s="29">
        <f t="shared" si="4"/>
        <v>99206243.71</v>
      </c>
      <c r="R100" s="4">
        <v>0.075</v>
      </c>
      <c r="S100" s="29">
        <f t="shared" si="5"/>
        <v>194256550.2</v>
      </c>
      <c r="T100" s="29">
        <f t="shared" si="6"/>
        <v>308343730.4</v>
      </c>
      <c r="U100" s="29">
        <f t="shared" si="7"/>
        <v>114087180.3</v>
      </c>
      <c r="Y100" s="5" t="s">
        <v>171</v>
      </c>
    </row>
    <row r="101" ht="14.25" customHeight="1">
      <c r="A101" s="4">
        <v>99.0</v>
      </c>
      <c r="B101" s="2" t="s">
        <v>371</v>
      </c>
      <c r="C101" s="2" t="s">
        <v>372</v>
      </c>
      <c r="D101" s="3">
        <v>3.3E9</v>
      </c>
      <c r="E101" s="2" t="s">
        <v>329</v>
      </c>
      <c r="F101" s="4" t="str">
        <f>VLOOKUP(B101,Raw_Data_Collection!$B$2:$F$215,5,FALSE)</f>
        <v>N</v>
      </c>
      <c r="G101" s="3">
        <f>VLOOKUP(B101,Raw_Data_Collection!$B$2:$J$215,6,FALSE)</f>
        <v>10243300</v>
      </c>
      <c r="J101" s="2" t="str">
        <f>VLOOKUP(B101,Raw_Data_Collection!$B$2:$J$215,9,FALSE)</f>
        <v/>
      </c>
      <c r="K101" s="18">
        <f>VLOOKUP(B101,Real_Estate_Stats_Preferred!$A$2:$G$215,7,FALSE)</f>
        <v>10243300</v>
      </c>
      <c r="L101" s="18">
        <f t="shared" si="1"/>
        <v>3289756700</v>
      </c>
      <c r="M101" s="4">
        <v>0.37</v>
      </c>
      <c r="N101" s="4">
        <v>0.05</v>
      </c>
      <c r="O101" s="29">
        <f t="shared" si="2"/>
        <v>164487835</v>
      </c>
      <c r="P101" s="29">
        <f t="shared" si="3"/>
        <v>261091801.6</v>
      </c>
      <c r="Q101" s="29">
        <f t="shared" si="4"/>
        <v>96603966.59</v>
      </c>
      <c r="R101" s="4">
        <v>0.075</v>
      </c>
      <c r="S101" s="29">
        <f t="shared" si="5"/>
        <v>189161010.3</v>
      </c>
      <c r="T101" s="29">
        <f t="shared" si="6"/>
        <v>300255571.8</v>
      </c>
      <c r="U101" s="29">
        <f t="shared" si="7"/>
        <v>111094561.6</v>
      </c>
    </row>
    <row r="102" ht="14.25" customHeight="1">
      <c r="A102" s="4">
        <v>100.0</v>
      </c>
      <c r="B102" s="2" t="s">
        <v>375</v>
      </c>
      <c r="C102" s="2" t="s">
        <v>376</v>
      </c>
      <c r="D102" s="3">
        <v>3.2E9</v>
      </c>
      <c r="E102" s="2" t="s">
        <v>52</v>
      </c>
      <c r="F102" s="4" t="str">
        <f>VLOOKUP(B102,Raw_Data_Collection!$B$2:$F$215,5,FALSE)</f>
        <v>N</v>
      </c>
      <c r="G102" s="3">
        <f>VLOOKUP(B102,Raw_Data_Collection!$B$2:$J$215,6,FALSE)</f>
        <v>42000000</v>
      </c>
      <c r="J102" s="2" t="str">
        <f>VLOOKUP(B102,Raw_Data_Collection!$B$2:$J$215,9,FALSE)</f>
        <v/>
      </c>
      <c r="K102" s="18">
        <f>VLOOKUP(B102,Real_Estate_Stats_Preferred!$A$2:$G$215,7,FALSE)</f>
        <v>42000000</v>
      </c>
      <c r="L102" s="18">
        <f t="shared" si="1"/>
        <v>3158000000</v>
      </c>
      <c r="M102" s="4">
        <v>0.37</v>
      </c>
      <c r="N102" s="4">
        <v>0.05</v>
      </c>
      <c r="O102" s="29">
        <f t="shared" si="2"/>
        <v>157900000</v>
      </c>
      <c r="P102" s="29">
        <f t="shared" si="3"/>
        <v>250634920.6</v>
      </c>
      <c r="Q102" s="29">
        <f t="shared" si="4"/>
        <v>92734920.63</v>
      </c>
      <c r="R102" s="4">
        <v>0.075</v>
      </c>
      <c r="S102" s="29">
        <f t="shared" si="5"/>
        <v>181585000</v>
      </c>
      <c r="T102" s="29">
        <f t="shared" si="6"/>
        <v>288230158.7</v>
      </c>
      <c r="U102" s="29">
        <f t="shared" si="7"/>
        <v>106645158.7</v>
      </c>
    </row>
    <row r="103" ht="14.25" customHeight="1">
      <c r="A103" s="4">
        <v>101.0</v>
      </c>
      <c r="B103" s="2" t="s">
        <v>379</v>
      </c>
      <c r="C103" s="2" t="s">
        <v>376</v>
      </c>
      <c r="D103" s="3">
        <v>3.2E9</v>
      </c>
      <c r="E103" s="2" t="s">
        <v>100</v>
      </c>
      <c r="F103" s="4" t="str">
        <f>VLOOKUP(B103,Raw_Data_Collection!$B$2:$F$215,5,FALSE)</f>
        <v>N</v>
      </c>
      <c r="G103" s="3">
        <f>VLOOKUP(B103,Raw_Data_Collection!$B$2:$J$215,6,FALSE)</f>
        <v>28250000</v>
      </c>
      <c r="H103" s="5" t="s">
        <v>380</v>
      </c>
      <c r="I103" s="4">
        <v>2015.0</v>
      </c>
      <c r="J103" s="2" t="str">
        <f>VLOOKUP(B103,Raw_Data_Collection!$B$2:$J$215,9,FALSE)</f>
        <v/>
      </c>
      <c r="K103" s="18">
        <f>VLOOKUP(B103,Real_Estate_Stats_Preferred!$A$2:$G$215,7,FALSE)</f>
        <v>28250000</v>
      </c>
      <c r="L103" s="18">
        <f t="shared" si="1"/>
        <v>3171750000</v>
      </c>
      <c r="M103" s="4">
        <v>0.37</v>
      </c>
      <c r="N103" s="4">
        <v>0.05</v>
      </c>
      <c r="O103" s="29">
        <f t="shared" si="2"/>
        <v>158587500</v>
      </c>
      <c r="P103" s="29">
        <f t="shared" si="3"/>
        <v>251726190.5</v>
      </c>
      <c r="Q103" s="29">
        <f t="shared" si="4"/>
        <v>93138690.48</v>
      </c>
      <c r="R103" s="4">
        <v>0.075</v>
      </c>
      <c r="S103" s="29">
        <f t="shared" si="5"/>
        <v>182375625</v>
      </c>
      <c r="T103" s="29">
        <f t="shared" si="6"/>
        <v>289485119</v>
      </c>
      <c r="U103" s="29">
        <f t="shared" si="7"/>
        <v>107109494</v>
      </c>
      <c r="V103" s="4"/>
      <c r="W103" s="4"/>
    </row>
    <row r="104" ht="14.25" customHeight="1">
      <c r="A104" s="4">
        <v>102.0</v>
      </c>
      <c r="B104" s="2" t="s">
        <v>381</v>
      </c>
      <c r="C104" s="2" t="s">
        <v>376</v>
      </c>
      <c r="D104" s="3">
        <v>3.2E9</v>
      </c>
      <c r="E104" s="2" t="s">
        <v>100</v>
      </c>
      <c r="F104" s="4" t="str">
        <f>VLOOKUP(B104,Raw_Data_Collection!$B$2:$F$215,5,FALSE)</f>
        <v>N</v>
      </c>
      <c r="G104" s="3" t="str">
        <f>VLOOKUP(B104,Raw_Data_Collection!$B$2:$J$215,6,FALSE)</f>
        <v/>
      </c>
      <c r="J104" s="2" t="str">
        <f>VLOOKUP(B104,Raw_Data_Collection!$B$2:$J$215,9,FALSE)</f>
        <v/>
      </c>
      <c r="K104" s="18">
        <f>VLOOKUP(B104,Real_Estate_Stats_Preferred!$A$2:$G$215,7,FALSE)</f>
        <v>20353142.86</v>
      </c>
      <c r="L104" s="18">
        <f t="shared" si="1"/>
        <v>3179646857</v>
      </c>
      <c r="M104" s="4">
        <v>0.37</v>
      </c>
      <c r="N104" s="4">
        <v>0.05</v>
      </c>
      <c r="O104" s="29">
        <f t="shared" si="2"/>
        <v>158982342.9</v>
      </c>
      <c r="P104" s="29">
        <f t="shared" si="3"/>
        <v>252352925.2</v>
      </c>
      <c r="Q104" s="29">
        <f t="shared" si="4"/>
        <v>93370582.31</v>
      </c>
      <c r="R104" s="4">
        <v>0.075</v>
      </c>
      <c r="S104" s="29">
        <f t="shared" si="5"/>
        <v>182829694.3</v>
      </c>
      <c r="T104" s="29">
        <f t="shared" si="6"/>
        <v>290205863.9</v>
      </c>
      <c r="U104" s="29">
        <f t="shared" si="7"/>
        <v>107376169.7</v>
      </c>
    </row>
    <row r="105" ht="14.25" customHeight="1">
      <c r="A105" s="4">
        <v>103.0</v>
      </c>
      <c r="B105" s="2" t="s">
        <v>382</v>
      </c>
      <c r="C105" s="2" t="s">
        <v>376</v>
      </c>
      <c r="D105" s="3">
        <v>3.2E9</v>
      </c>
      <c r="E105" s="2" t="s">
        <v>80</v>
      </c>
      <c r="F105" s="4" t="str">
        <f>VLOOKUP(B105,Raw_Data_Collection!$B$2:$F$215,5,FALSE)</f>
        <v>N</v>
      </c>
      <c r="G105" s="3">
        <f>VLOOKUP(B105,Raw_Data_Collection!$B$2:$J$215,6,FALSE)</f>
        <v>57500000</v>
      </c>
      <c r="H105" s="5" t="s">
        <v>383</v>
      </c>
      <c r="I105" s="4">
        <v>2025.0</v>
      </c>
      <c r="J105" s="2" t="str">
        <f>VLOOKUP(B105,Raw_Data_Collection!$B$2:$J$215,9,FALSE)</f>
        <v/>
      </c>
      <c r="K105" s="18">
        <f>VLOOKUP(B105,Real_Estate_Stats_Preferred!$A$2:$G$215,7,FALSE)</f>
        <v>57500000</v>
      </c>
      <c r="L105" s="18">
        <f t="shared" si="1"/>
        <v>3142500000</v>
      </c>
      <c r="M105" s="4">
        <v>0.37</v>
      </c>
      <c r="N105" s="4">
        <v>0.05</v>
      </c>
      <c r="O105" s="29">
        <f t="shared" si="2"/>
        <v>157125000</v>
      </c>
      <c r="P105" s="29">
        <f t="shared" si="3"/>
        <v>249404761.9</v>
      </c>
      <c r="Q105" s="29">
        <f t="shared" si="4"/>
        <v>92279761.9</v>
      </c>
      <c r="R105" s="4">
        <v>0.075</v>
      </c>
      <c r="S105" s="29">
        <f t="shared" si="5"/>
        <v>180693750</v>
      </c>
      <c r="T105" s="29">
        <f t="shared" si="6"/>
        <v>286815476.2</v>
      </c>
      <c r="U105" s="29">
        <f t="shared" si="7"/>
        <v>106121726.2</v>
      </c>
      <c r="V105" s="4"/>
      <c r="W105" s="4"/>
    </row>
    <row r="106" ht="14.25" customHeight="1">
      <c r="A106" s="4">
        <v>104.0</v>
      </c>
      <c r="B106" s="2" t="s">
        <v>384</v>
      </c>
      <c r="C106" s="2" t="s">
        <v>376</v>
      </c>
      <c r="D106" s="3">
        <v>3.2E9</v>
      </c>
      <c r="E106" s="2" t="s">
        <v>100</v>
      </c>
      <c r="F106" s="4" t="str">
        <f>VLOOKUP(B106,Raw_Data_Collection!$B$2:$F$215,5,FALSE)</f>
        <v>N</v>
      </c>
      <c r="G106" s="3" t="str">
        <f>VLOOKUP(B106,Raw_Data_Collection!$B$2:$J$215,6,FALSE)</f>
        <v/>
      </c>
      <c r="J106" s="2" t="str">
        <f>VLOOKUP(B106,Raw_Data_Collection!$B$2:$J$215,9,FALSE)</f>
        <v/>
      </c>
      <c r="K106" s="18">
        <f>VLOOKUP(B106,Real_Estate_Stats_Preferred!$A$2:$G$215,7,FALSE)</f>
        <v>20353142.86</v>
      </c>
      <c r="L106" s="18">
        <f t="shared" si="1"/>
        <v>3179646857</v>
      </c>
      <c r="M106" s="4">
        <v>0.37</v>
      </c>
      <c r="N106" s="4">
        <v>0.05</v>
      </c>
      <c r="O106" s="29">
        <f t="shared" si="2"/>
        <v>158982342.9</v>
      </c>
      <c r="P106" s="29">
        <f t="shared" si="3"/>
        <v>252352925.2</v>
      </c>
      <c r="Q106" s="29">
        <f t="shared" si="4"/>
        <v>93370582.31</v>
      </c>
      <c r="R106" s="4">
        <v>0.075</v>
      </c>
      <c r="S106" s="29">
        <f t="shared" si="5"/>
        <v>182829694.3</v>
      </c>
      <c r="T106" s="29">
        <f t="shared" si="6"/>
        <v>290205863.9</v>
      </c>
      <c r="U106" s="29">
        <f t="shared" si="7"/>
        <v>107376169.7</v>
      </c>
    </row>
    <row r="107" ht="14.25" customHeight="1">
      <c r="A107" s="4">
        <v>105.0</v>
      </c>
      <c r="B107" s="2" t="s">
        <v>385</v>
      </c>
      <c r="C107" s="2" t="s">
        <v>376</v>
      </c>
      <c r="D107" s="3">
        <v>3.2E9</v>
      </c>
      <c r="E107" s="2" t="s">
        <v>17</v>
      </c>
      <c r="F107" s="4" t="str">
        <f>VLOOKUP(B107,Raw_Data_Collection!$B$2:$F$215,5,FALSE)</f>
        <v>N</v>
      </c>
      <c r="G107" s="3" t="str">
        <f>VLOOKUP(B107,Raw_Data_Collection!$B$2:$J$215,6,FALSE)</f>
        <v/>
      </c>
      <c r="J107" s="2" t="str">
        <f>VLOOKUP(B107,Raw_Data_Collection!$B$2:$J$215,9,FALSE)</f>
        <v/>
      </c>
      <c r="K107" s="18">
        <f>VLOOKUP(B107,Real_Estate_Stats_Preferred!$A$2:$G$215,7,FALSE)</f>
        <v>20353142.86</v>
      </c>
      <c r="L107" s="18">
        <f t="shared" si="1"/>
        <v>3179646857</v>
      </c>
      <c r="M107" s="4">
        <v>0.37</v>
      </c>
      <c r="N107" s="4">
        <v>0.05</v>
      </c>
      <c r="O107" s="29">
        <f t="shared" si="2"/>
        <v>158982342.9</v>
      </c>
      <c r="P107" s="29">
        <f t="shared" si="3"/>
        <v>252352925.2</v>
      </c>
      <c r="Q107" s="29">
        <f t="shared" si="4"/>
        <v>93370582.31</v>
      </c>
      <c r="R107" s="4">
        <v>0.075</v>
      </c>
      <c r="S107" s="29">
        <f t="shared" si="5"/>
        <v>182829694.3</v>
      </c>
      <c r="T107" s="29">
        <f t="shared" si="6"/>
        <v>290205863.9</v>
      </c>
      <c r="U107" s="29">
        <f t="shared" si="7"/>
        <v>107376169.7</v>
      </c>
    </row>
    <row r="108" ht="14.25" customHeight="1">
      <c r="A108" s="4">
        <v>106.0</v>
      </c>
      <c r="B108" s="2" t="s">
        <v>386</v>
      </c>
      <c r="C108" s="2" t="s">
        <v>387</v>
      </c>
      <c r="D108" s="3">
        <v>3.1E9</v>
      </c>
      <c r="E108" s="2" t="s">
        <v>90</v>
      </c>
      <c r="F108" s="4" t="str">
        <f>VLOOKUP(B108,Raw_Data_Collection!$B$2:$F$215,5,FALSE)</f>
        <v>N</v>
      </c>
      <c r="G108" s="3">
        <f>VLOOKUP(B108,Raw_Data_Collection!$B$2:$J$215,6,FALSE)</f>
        <v>15563106</v>
      </c>
      <c r="J108" s="2" t="str">
        <f>VLOOKUP(B108,Raw_Data_Collection!$B$2:$J$215,9,FALSE)</f>
        <v/>
      </c>
      <c r="K108" s="18">
        <f>VLOOKUP(B108,Real_Estate_Stats_Preferred!$A$2:$G$215,7,FALSE)</f>
        <v>15563106</v>
      </c>
      <c r="L108" s="18">
        <f t="shared" si="1"/>
        <v>3084436894</v>
      </c>
      <c r="M108" s="4">
        <v>0.37</v>
      </c>
      <c r="N108" s="4">
        <v>0.05</v>
      </c>
      <c r="O108" s="29">
        <f t="shared" si="2"/>
        <v>154221844.7</v>
      </c>
      <c r="P108" s="29">
        <f t="shared" si="3"/>
        <v>244796578.9</v>
      </c>
      <c r="Q108" s="29">
        <f t="shared" si="4"/>
        <v>90574734.19</v>
      </c>
      <c r="R108" s="4">
        <v>0.075</v>
      </c>
      <c r="S108" s="29">
        <f t="shared" si="5"/>
        <v>177355121.4</v>
      </c>
      <c r="T108" s="29">
        <f t="shared" si="6"/>
        <v>281516065.7</v>
      </c>
      <c r="U108" s="29">
        <f t="shared" si="7"/>
        <v>104160944.3</v>
      </c>
    </row>
    <row r="109" ht="14.25" customHeight="1">
      <c r="A109" s="4">
        <v>107.0</v>
      </c>
      <c r="B109" s="2" t="s">
        <v>390</v>
      </c>
      <c r="C109" s="2" t="s">
        <v>387</v>
      </c>
      <c r="D109" s="3">
        <v>3.1E9</v>
      </c>
      <c r="E109" s="2" t="s">
        <v>391</v>
      </c>
      <c r="F109" s="4" t="str">
        <f>VLOOKUP(B109,Raw_Data_Collection!$B$2:$F$215,5,FALSE)</f>
        <v>N</v>
      </c>
      <c r="G109" s="3">
        <f>VLOOKUP(B109,Raw_Data_Collection!$B$2:$J$215,6,FALSE)</f>
        <v>50000000</v>
      </c>
      <c r="H109" s="5" t="s">
        <v>392</v>
      </c>
      <c r="I109" s="4">
        <v>2024.0</v>
      </c>
      <c r="J109" s="18">
        <f>VLOOKUP(B109,Raw_Data_Collection!$B$2:$J$215,9,FALSE)</f>
        <v>150000000</v>
      </c>
      <c r="K109" s="18">
        <f>VLOOKUP(B109,Real_Estate_Stats_Preferred!$A$2:$G$215,7,FALSE)</f>
        <v>150000000</v>
      </c>
      <c r="L109" s="18">
        <f t="shared" si="1"/>
        <v>2950000000</v>
      </c>
      <c r="M109" s="4">
        <v>0.37</v>
      </c>
      <c r="N109" s="4">
        <v>0.05</v>
      </c>
      <c r="O109" s="29">
        <f t="shared" si="2"/>
        <v>147500000</v>
      </c>
      <c r="P109" s="29">
        <f t="shared" si="3"/>
        <v>234126984.1</v>
      </c>
      <c r="Q109" s="29">
        <f t="shared" si="4"/>
        <v>86626984.13</v>
      </c>
      <c r="R109" s="4">
        <v>0.075</v>
      </c>
      <c r="S109" s="29">
        <f t="shared" si="5"/>
        <v>169625000</v>
      </c>
      <c r="T109" s="29">
        <f t="shared" si="6"/>
        <v>269246031.7</v>
      </c>
      <c r="U109" s="29">
        <f t="shared" si="7"/>
        <v>99621031.75</v>
      </c>
      <c r="V109" s="4" t="s">
        <v>393</v>
      </c>
      <c r="W109" s="4"/>
      <c r="X109" s="4" t="s">
        <v>394</v>
      </c>
    </row>
    <row r="110" ht="14.25" customHeight="1">
      <c r="A110" s="4">
        <v>108.0</v>
      </c>
      <c r="B110" s="2" t="s">
        <v>395</v>
      </c>
      <c r="C110" s="2" t="s">
        <v>396</v>
      </c>
      <c r="D110" s="3">
        <v>3.0E9</v>
      </c>
      <c r="E110" s="2" t="s">
        <v>30</v>
      </c>
      <c r="F110" s="4" t="str">
        <f>VLOOKUP(B110,Raw_Data_Collection!$B$2:$F$215,5,FALSE)</f>
        <v>N</v>
      </c>
      <c r="G110" s="3" t="str">
        <f>VLOOKUP(B110,Raw_Data_Collection!$B$2:$J$215,6,FALSE)</f>
        <v/>
      </c>
      <c r="J110" s="2" t="str">
        <f>VLOOKUP(B110,Raw_Data_Collection!$B$2:$J$215,9,FALSE)</f>
        <v/>
      </c>
      <c r="K110" s="18">
        <f>VLOOKUP(B110,Real_Estate_Stats_Preferred!$A$2:$G$215,7,FALSE)</f>
        <v>19081071.43</v>
      </c>
      <c r="L110" s="18">
        <f t="shared" si="1"/>
        <v>2980918929</v>
      </c>
      <c r="M110" s="4">
        <v>0.37</v>
      </c>
      <c r="N110" s="4">
        <v>0.05</v>
      </c>
      <c r="O110" s="29">
        <f t="shared" si="2"/>
        <v>149045946.4</v>
      </c>
      <c r="P110" s="29">
        <f t="shared" si="3"/>
        <v>236580867.3</v>
      </c>
      <c r="Q110" s="29">
        <f t="shared" si="4"/>
        <v>87534920.92</v>
      </c>
      <c r="R110" s="4">
        <v>0.075</v>
      </c>
      <c r="S110" s="29">
        <f t="shared" si="5"/>
        <v>171402838.4</v>
      </c>
      <c r="T110" s="29">
        <f t="shared" si="6"/>
        <v>272067997.4</v>
      </c>
      <c r="U110" s="29">
        <f t="shared" si="7"/>
        <v>100665159.1</v>
      </c>
    </row>
    <row r="111" ht="14.25" customHeight="1">
      <c r="A111" s="4">
        <v>109.0</v>
      </c>
      <c r="B111" s="2" t="s">
        <v>397</v>
      </c>
      <c r="C111" s="2" t="s">
        <v>396</v>
      </c>
      <c r="D111" s="3">
        <v>3.0E9</v>
      </c>
      <c r="E111" s="2" t="s">
        <v>47</v>
      </c>
      <c r="F111" s="4" t="str">
        <f>VLOOKUP(B111,Raw_Data_Collection!$B$2:$F$215,5,FALSE)</f>
        <v>N</v>
      </c>
      <c r="G111" s="3">
        <f>VLOOKUP(B111,Raw_Data_Collection!$B$2:$J$215,6,FALSE)</f>
        <v>55000000</v>
      </c>
      <c r="H111" s="5" t="s">
        <v>398</v>
      </c>
      <c r="I111" s="4">
        <v>2014.0</v>
      </c>
      <c r="J111" s="2" t="str">
        <f>VLOOKUP(B111,Raw_Data_Collection!$B$2:$J$215,9,FALSE)</f>
        <v/>
      </c>
      <c r="K111" s="18">
        <f>VLOOKUP(B111,Real_Estate_Stats_Preferred!$A$2:$G$215,7,FALSE)</f>
        <v>55000000</v>
      </c>
      <c r="L111" s="18">
        <f t="shared" si="1"/>
        <v>2945000000</v>
      </c>
      <c r="M111" s="4">
        <v>0.37</v>
      </c>
      <c r="N111" s="4">
        <v>0.05</v>
      </c>
      <c r="O111" s="29">
        <f t="shared" si="2"/>
        <v>147250000</v>
      </c>
      <c r="P111" s="29">
        <f t="shared" si="3"/>
        <v>233730158.7</v>
      </c>
      <c r="Q111" s="29">
        <f t="shared" si="4"/>
        <v>86480158.73</v>
      </c>
      <c r="R111" s="4">
        <v>0.075</v>
      </c>
      <c r="S111" s="29">
        <f t="shared" si="5"/>
        <v>169337500</v>
      </c>
      <c r="T111" s="29">
        <f t="shared" si="6"/>
        <v>268789682.5</v>
      </c>
      <c r="U111" s="29">
        <f t="shared" si="7"/>
        <v>99452182.54</v>
      </c>
      <c r="V111" s="4"/>
      <c r="W111" s="4"/>
    </row>
    <row r="112" ht="14.25" customHeight="1">
      <c r="A112" s="4">
        <v>110.0</v>
      </c>
      <c r="B112" s="2" t="s">
        <v>399</v>
      </c>
      <c r="C112" s="2" t="s">
        <v>400</v>
      </c>
      <c r="D112" s="3">
        <v>2.9E9</v>
      </c>
      <c r="E112" s="2" t="s">
        <v>80</v>
      </c>
      <c r="F112" s="4" t="str">
        <f>VLOOKUP(B112,Raw_Data_Collection!$B$2:$F$215,5,FALSE)</f>
        <v>N</v>
      </c>
      <c r="G112" s="3">
        <f>VLOOKUP(B112,Raw_Data_Collection!$B$2:$J$215,6,FALSE)</f>
        <v>63100000</v>
      </c>
      <c r="H112" s="5" t="s">
        <v>401</v>
      </c>
      <c r="I112" s="4">
        <v>2021.0</v>
      </c>
      <c r="J112" s="2" t="str">
        <f>VLOOKUP(B112,Raw_Data_Collection!$B$2:$J$215,9,FALSE)</f>
        <v/>
      </c>
      <c r="K112" s="18">
        <f>VLOOKUP(B112,Real_Estate_Stats_Preferred!$A$2:$G$215,7,FALSE)</f>
        <v>63100000</v>
      </c>
      <c r="L112" s="18">
        <f t="shared" si="1"/>
        <v>2836900000</v>
      </c>
      <c r="M112" s="4">
        <v>0.37</v>
      </c>
      <c r="N112" s="4">
        <v>0.05</v>
      </c>
      <c r="O112" s="29">
        <f t="shared" si="2"/>
        <v>141845000</v>
      </c>
      <c r="P112" s="29">
        <f t="shared" si="3"/>
        <v>225150793.7</v>
      </c>
      <c r="Q112" s="29">
        <f t="shared" si="4"/>
        <v>83305793.65</v>
      </c>
      <c r="R112" s="4">
        <v>0.075</v>
      </c>
      <c r="S112" s="29">
        <f t="shared" si="5"/>
        <v>163121750</v>
      </c>
      <c r="T112" s="29">
        <f t="shared" si="6"/>
        <v>258923412.7</v>
      </c>
      <c r="U112" s="29">
        <f t="shared" si="7"/>
        <v>95801662.7</v>
      </c>
      <c r="V112" s="4"/>
      <c r="W112" s="4"/>
    </row>
    <row r="113" ht="14.25" customHeight="1">
      <c r="A113" s="4">
        <v>111.0</v>
      </c>
      <c r="B113" s="2" t="s">
        <v>402</v>
      </c>
      <c r="C113" s="2" t="s">
        <v>400</v>
      </c>
      <c r="D113" s="3">
        <v>2.9E9</v>
      </c>
      <c r="E113" s="2" t="s">
        <v>100</v>
      </c>
      <c r="F113" s="4" t="str">
        <f>VLOOKUP(B113,Raw_Data_Collection!$B$2:$F$215,5,FALSE)</f>
        <v>N</v>
      </c>
      <c r="G113" s="3">
        <f>VLOOKUP(B113,Raw_Data_Collection!$B$2:$J$215,6,FALSE)</f>
        <v>12072842</v>
      </c>
      <c r="H113" s="5" t="s">
        <v>403</v>
      </c>
      <c r="I113" s="4">
        <v>2026.0</v>
      </c>
      <c r="J113" s="2" t="str">
        <f>VLOOKUP(B113,Raw_Data_Collection!$B$2:$J$215,9,FALSE)</f>
        <v/>
      </c>
      <c r="K113" s="18">
        <f>VLOOKUP(B113,Real_Estate_Stats_Preferred!$A$2:$G$215,7,FALSE)</f>
        <v>12072842</v>
      </c>
      <c r="L113" s="18">
        <f t="shared" si="1"/>
        <v>2887927158</v>
      </c>
      <c r="M113" s="4">
        <v>0.37</v>
      </c>
      <c r="N113" s="4">
        <v>0.05</v>
      </c>
      <c r="O113" s="29">
        <f t="shared" si="2"/>
        <v>144396357.9</v>
      </c>
      <c r="P113" s="29">
        <f t="shared" si="3"/>
        <v>229200568.1</v>
      </c>
      <c r="Q113" s="29">
        <f t="shared" si="4"/>
        <v>84804210.2</v>
      </c>
      <c r="R113" s="4">
        <v>0.075</v>
      </c>
      <c r="S113" s="29">
        <f t="shared" si="5"/>
        <v>166055811.6</v>
      </c>
      <c r="T113" s="29">
        <f t="shared" si="6"/>
        <v>263580653.3</v>
      </c>
      <c r="U113" s="29">
        <f t="shared" si="7"/>
        <v>97524841.72</v>
      </c>
      <c r="V113" s="4"/>
      <c r="W113" s="4"/>
      <c r="X113" s="6" t="s">
        <v>841</v>
      </c>
    </row>
    <row r="114" ht="14.25" customHeight="1">
      <c r="A114" s="4">
        <v>112.0</v>
      </c>
      <c r="B114" s="2" t="s">
        <v>405</v>
      </c>
      <c r="C114" s="2" t="s">
        <v>406</v>
      </c>
      <c r="D114" s="3">
        <v>2.8E9</v>
      </c>
      <c r="E114" s="2" t="s">
        <v>90</v>
      </c>
      <c r="F114" s="4" t="str">
        <f>VLOOKUP(B114,Raw_Data_Collection!$B$2:$F$215,5,FALSE)</f>
        <v>N</v>
      </c>
      <c r="G114" s="3">
        <f>VLOOKUP(B114,Raw_Data_Collection!$B$2:$J$215,6,FALSE)</f>
        <v>17197000</v>
      </c>
      <c r="J114" s="2" t="str">
        <f>VLOOKUP(B114,Raw_Data_Collection!$B$2:$J$215,9,FALSE)</f>
        <v/>
      </c>
      <c r="K114" s="18">
        <f>VLOOKUP(B114,Real_Estate_Stats_Preferred!$A$2:$G$215,7,FALSE)</f>
        <v>17197000</v>
      </c>
      <c r="L114" s="18">
        <f t="shared" si="1"/>
        <v>2782803000</v>
      </c>
      <c r="M114" s="4">
        <v>0.37</v>
      </c>
      <c r="N114" s="4">
        <v>0.05</v>
      </c>
      <c r="O114" s="29">
        <f t="shared" si="2"/>
        <v>139140150</v>
      </c>
      <c r="P114" s="29">
        <f t="shared" si="3"/>
        <v>220857381</v>
      </c>
      <c r="Q114" s="29">
        <f t="shared" si="4"/>
        <v>81717230.95</v>
      </c>
      <c r="R114" s="4">
        <v>0.075</v>
      </c>
      <c r="S114" s="29">
        <f t="shared" si="5"/>
        <v>160011172.5</v>
      </c>
      <c r="T114" s="29">
        <f t="shared" si="6"/>
        <v>253985988.1</v>
      </c>
      <c r="U114" s="29">
        <f t="shared" si="7"/>
        <v>93974815.6</v>
      </c>
    </row>
    <row r="115" ht="14.25" customHeight="1">
      <c r="A115" s="4">
        <v>113.0</v>
      </c>
      <c r="B115" s="2" t="s">
        <v>408</v>
      </c>
      <c r="C115" s="2" t="s">
        <v>406</v>
      </c>
      <c r="D115" s="3">
        <v>2.8E9</v>
      </c>
      <c r="E115" s="2" t="s">
        <v>409</v>
      </c>
      <c r="F115" s="4" t="str">
        <f>VLOOKUP(B115,Raw_Data_Collection!$B$2:$F$215,5,FALSE)</f>
        <v>N</v>
      </c>
      <c r="G115" s="3" t="str">
        <f>VLOOKUP(B115,Raw_Data_Collection!$B$2:$J$215,6,FALSE)</f>
        <v/>
      </c>
      <c r="J115" s="2" t="str">
        <f>VLOOKUP(B115,Raw_Data_Collection!$B$2:$J$215,9,FALSE)</f>
        <v/>
      </c>
      <c r="K115" s="18">
        <f>VLOOKUP(B115,Real_Estate_Stats_Preferred!$A$2:$G$215,7,FALSE)</f>
        <v>17809000</v>
      </c>
      <c r="L115" s="18">
        <f t="shared" si="1"/>
        <v>2782191000</v>
      </c>
      <c r="M115" s="4">
        <v>0.37</v>
      </c>
      <c r="N115" s="4">
        <v>0.05</v>
      </c>
      <c r="O115" s="29">
        <f t="shared" si="2"/>
        <v>139109550</v>
      </c>
      <c r="P115" s="29">
        <f t="shared" si="3"/>
        <v>220808809.5</v>
      </c>
      <c r="Q115" s="29">
        <f t="shared" si="4"/>
        <v>81699259.52</v>
      </c>
      <c r="R115" s="4">
        <v>0.075</v>
      </c>
      <c r="S115" s="29">
        <f t="shared" si="5"/>
        <v>159975982.5</v>
      </c>
      <c r="T115" s="29">
        <f t="shared" si="6"/>
        <v>253930131</v>
      </c>
      <c r="U115" s="29">
        <f t="shared" si="7"/>
        <v>93954148.45</v>
      </c>
    </row>
    <row r="116" ht="14.25" customHeight="1">
      <c r="A116" s="4">
        <v>114.0</v>
      </c>
      <c r="B116" s="2" t="s">
        <v>411</v>
      </c>
      <c r="C116" s="2" t="s">
        <v>406</v>
      </c>
      <c r="D116" s="3">
        <v>2.8E9</v>
      </c>
      <c r="E116" s="2" t="s">
        <v>412</v>
      </c>
      <c r="F116" s="4" t="str">
        <f>VLOOKUP(B116,Raw_Data_Collection!$B$2:$F$215,5,FALSE)</f>
        <v>N</v>
      </c>
      <c r="G116" s="3" t="str">
        <f>VLOOKUP(B116,Raw_Data_Collection!$B$2:$J$215,6,FALSE)</f>
        <v/>
      </c>
      <c r="J116" s="2" t="str">
        <f>VLOOKUP(B116,Raw_Data_Collection!$B$2:$J$215,9,FALSE)</f>
        <v/>
      </c>
      <c r="K116" s="18">
        <f>VLOOKUP(B116,Real_Estate_Stats_Preferred!$A$2:$G$215,7,FALSE)</f>
        <v>17809000</v>
      </c>
      <c r="L116" s="18">
        <f t="shared" si="1"/>
        <v>2782191000</v>
      </c>
      <c r="M116" s="4">
        <v>0.37</v>
      </c>
      <c r="N116" s="4">
        <v>0.05</v>
      </c>
      <c r="O116" s="29">
        <f t="shared" si="2"/>
        <v>139109550</v>
      </c>
      <c r="P116" s="29">
        <f t="shared" si="3"/>
        <v>220808809.5</v>
      </c>
      <c r="Q116" s="29">
        <f t="shared" si="4"/>
        <v>81699259.52</v>
      </c>
      <c r="R116" s="4">
        <v>0.075</v>
      </c>
      <c r="S116" s="29">
        <f t="shared" si="5"/>
        <v>159975982.5</v>
      </c>
      <c r="T116" s="29">
        <f t="shared" si="6"/>
        <v>253930131</v>
      </c>
      <c r="U116" s="29">
        <f t="shared" si="7"/>
        <v>93954148.45</v>
      </c>
    </row>
    <row r="117" ht="14.25" customHeight="1">
      <c r="A117" s="4">
        <v>115.0</v>
      </c>
      <c r="B117" s="2" t="s">
        <v>413</v>
      </c>
      <c r="C117" s="2" t="s">
        <v>406</v>
      </c>
      <c r="D117" s="3">
        <v>2.8E9</v>
      </c>
      <c r="E117" s="2" t="s">
        <v>100</v>
      </c>
      <c r="F117" s="4" t="str">
        <f>VLOOKUP(B117,Raw_Data_Collection!$B$2:$F$215,5,FALSE)</f>
        <v>N</v>
      </c>
      <c r="G117" s="3" t="str">
        <f>VLOOKUP(B117,Raw_Data_Collection!$B$2:$J$215,6,FALSE)</f>
        <v/>
      </c>
      <c r="J117" s="2" t="str">
        <f>VLOOKUP(B117,Raw_Data_Collection!$B$2:$J$215,9,FALSE)</f>
        <v/>
      </c>
      <c r="K117" s="18">
        <f>VLOOKUP(B117,Real_Estate_Stats_Preferred!$A$2:$G$215,7,FALSE)</f>
        <v>17809000</v>
      </c>
      <c r="L117" s="18">
        <f t="shared" si="1"/>
        <v>2782191000</v>
      </c>
      <c r="M117" s="4">
        <v>0.37</v>
      </c>
      <c r="N117" s="4">
        <v>0.05</v>
      </c>
      <c r="O117" s="29">
        <f t="shared" si="2"/>
        <v>139109550</v>
      </c>
      <c r="P117" s="29">
        <f t="shared" si="3"/>
        <v>220808809.5</v>
      </c>
      <c r="Q117" s="29">
        <f t="shared" si="4"/>
        <v>81699259.52</v>
      </c>
      <c r="R117" s="4">
        <v>0.075</v>
      </c>
      <c r="S117" s="29">
        <f t="shared" si="5"/>
        <v>159975982.5</v>
      </c>
      <c r="T117" s="29">
        <f t="shared" si="6"/>
        <v>253930131</v>
      </c>
      <c r="U117" s="29">
        <f t="shared" si="7"/>
        <v>93954148.45</v>
      </c>
    </row>
    <row r="118" ht="14.25" customHeight="1">
      <c r="A118" s="4">
        <v>116.0</v>
      </c>
      <c r="B118" s="2" t="s">
        <v>414</v>
      </c>
      <c r="C118" s="2" t="s">
        <v>415</v>
      </c>
      <c r="D118" s="3">
        <v>2.7E9</v>
      </c>
      <c r="E118" s="2" t="s">
        <v>100</v>
      </c>
      <c r="F118" s="4" t="str">
        <f>VLOOKUP(B118,Raw_Data_Collection!$B$2:$F$215,5,FALSE)</f>
        <v>N</v>
      </c>
      <c r="G118" s="3" t="str">
        <f>VLOOKUP(B118,Raw_Data_Collection!$B$2:$J$215,6,FALSE)</f>
        <v/>
      </c>
      <c r="J118" s="2" t="str">
        <f>VLOOKUP(B118,Raw_Data_Collection!$B$2:$J$215,9,FALSE)</f>
        <v/>
      </c>
      <c r="K118" s="18">
        <f>VLOOKUP(B118,Real_Estate_Stats_Preferred!$A$2:$G$215,7,FALSE)</f>
        <v>17172964.29</v>
      </c>
      <c r="L118" s="18">
        <f t="shared" si="1"/>
        <v>2682827036</v>
      </c>
      <c r="M118" s="4">
        <v>0.37</v>
      </c>
      <c r="N118" s="4">
        <v>0.05</v>
      </c>
      <c r="O118" s="29">
        <f t="shared" si="2"/>
        <v>134141351.8</v>
      </c>
      <c r="P118" s="29">
        <f t="shared" si="3"/>
        <v>212922780.6</v>
      </c>
      <c r="Q118" s="29">
        <f t="shared" si="4"/>
        <v>78781428.83</v>
      </c>
      <c r="R118" s="4">
        <v>0.075</v>
      </c>
      <c r="S118" s="29">
        <f t="shared" si="5"/>
        <v>154262554.6</v>
      </c>
      <c r="T118" s="29">
        <f t="shared" si="6"/>
        <v>244861197.7</v>
      </c>
      <c r="U118" s="29">
        <f t="shared" si="7"/>
        <v>90598643.15</v>
      </c>
    </row>
    <row r="119" ht="14.25" customHeight="1">
      <c r="A119" s="4">
        <v>117.0</v>
      </c>
      <c r="B119" s="2" t="s">
        <v>416</v>
      </c>
      <c r="C119" s="2" t="s">
        <v>417</v>
      </c>
      <c r="D119" s="3">
        <v>2.6E9</v>
      </c>
      <c r="E119" s="2" t="s">
        <v>100</v>
      </c>
      <c r="F119" s="4" t="str">
        <f>VLOOKUP(B119,Raw_Data_Collection!$B$2:$F$215,5,FALSE)</f>
        <v>N</v>
      </c>
      <c r="G119" s="3" t="str">
        <f>VLOOKUP(B119,Raw_Data_Collection!$B$2:$J$215,6,FALSE)</f>
        <v/>
      </c>
      <c r="J119" s="2" t="str">
        <f>VLOOKUP(B119,Raw_Data_Collection!$B$2:$J$215,9,FALSE)</f>
        <v/>
      </c>
      <c r="K119" s="18">
        <f>VLOOKUP(B119,Real_Estate_Stats_Preferred!$A$2:$G$215,7,FALSE)</f>
        <v>16536928.57</v>
      </c>
      <c r="L119" s="18">
        <f t="shared" si="1"/>
        <v>2583463071</v>
      </c>
      <c r="M119" s="4">
        <v>0.37</v>
      </c>
      <c r="N119" s="4">
        <v>0.05</v>
      </c>
      <c r="O119" s="29">
        <f t="shared" si="2"/>
        <v>129173153.6</v>
      </c>
      <c r="P119" s="29">
        <f t="shared" si="3"/>
        <v>205036751.7</v>
      </c>
      <c r="Q119" s="29">
        <f t="shared" si="4"/>
        <v>75863598.13</v>
      </c>
      <c r="R119" s="4">
        <v>0.075</v>
      </c>
      <c r="S119" s="29">
        <f t="shared" si="5"/>
        <v>148549126.6</v>
      </c>
      <c r="T119" s="29">
        <f t="shared" si="6"/>
        <v>235792264.5</v>
      </c>
      <c r="U119" s="29">
        <f t="shared" si="7"/>
        <v>87243137.85</v>
      </c>
    </row>
    <row r="120" ht="14.25" customHeight="1">
      <c r="A120" s="4">
        <v>118.0</v>
      </c>
      <c r="B120" s="2" t="s">
        <v>418</v>
      </c>
      <c r="C120" s="2" t="s">
        <v>417</v>
      </c>
      <c r="D120" s="3">
        <v>2.6E9</v>
      </c>
      <c r="E120" s="2" t="s">
        <v>47</v>
      </c>
      <c r="F120" s="4" t="str">
        <f>VLOOKUP(B120,Raw_Data_Collection!$B$2:$F$215,5,FALSE)</f>
        <v>N</v>
      </c>
      <c r="G120" s="3">
        <f>VLOOKUP(B120,Raw_Data_Collection!$B$2:$J$215,6,FALSE)</f>
        <v>11761216</v>
      </c>
      <c r="J120" s="18">
        <f>VLOOKUP(B120,Raw_Data_Collection!$B$2:$J$215,9,FALSE)</f>
        <v>17143216</v>
      </c>
      <c r="K120" s="18">
        <f>VLOOKUP(B120,Real_Estate_Stats_Preferred!$A$2:$G$215,7,FALSE)</f>
        <v>17143216</v>
      </c>
      <c r="L120" s="18">
        <f t="shared" si="1"/>
        <v>2582856784</v>
      </c>
      <c r="M120" s="4">
        <v>0.37</v>
      </c>
      <c r="N120" s="4">
        <v>0.05</v>
      </c>
      <c r="O120" s="29">
        <f t="shared" si="2"/>
        <v>129142839.2</v>
      </c>
      <c r="P120" s="29">
        <f t="shared" si="3"/>
        <v>204988633.7</v>
      </c>
      <c r="Q120" s="29">
        <f t="shared" si="4"/>
        <v>75845794.45</v>
      </c>
      <c r="R120" s="4">
        <v>0.075</v>
      </c>
      <c r="S120" s="29">
        <f t="shared" si="5"/>
        <v>148514265.1</v>
      </c>
      <c r="T120" s="29">
        <f t="shared" si="6"/>
        <v>235736928.7</v>
      </c>
      <c r="U120" s="29">
        <f t="shared" si="7"/>
        <v>87222663.62</v>
      </c>
    </row>
    <row r="121" ht="14.25" customHeight="1">
      <c r="A121" s="4">
        <v>119.0</v>
      </c>
      <c r="B121" s="2" t="s">
        <v>422</v>
      </c>
      <c r="C121" s="2" t="s">
        <v>417</v>
      </c>
      <c r="D121" s="3">
        <v>2.6E9</v>
      </c>
      <c r="E121" s="2" t="s">
        <v>423</v>
      </c>
      <c r="F121" s="4" t="str">
        <f>VLOOKUP(B121,Raw_Data_Collection!$B$2:$F$215,5,FALSE)</f>
        <v>N</v>
      </c>
      <c r="G121" s="3">
        <f>VLOOKUP(B121,Raw_Data_Collection!$B$2:$J$215,6,FALSE)</f>
        <v>12300000</v>
      </c>
      <c r="J121" s="2" t="str">
        <f>VLOOKUP(B121,Raw_Data_Collection!$B$2:$J$215,9,FALSE)</f>
        <v/>
      </c>
      <c r="K121" s="18">
        <f>VLOOKUP(B121,Real_Estate_Stats_Preferred!$A$2:$G$215,7,FALSE)</f>
        <v>12300000</v>
      </c>
      <c r="L121" s="18">
        <f t="shared" si="1"/>
        <v>2587700000</v>
      </c>
      <c r="M121" s="4">
        <v>0.37</v>
      </c>
      <c r="N121" s="4">
        <v>0.05</v>
      </c>
      <c r="O121" s="29">
        <f t="shared" si="2"/>
        <v>129385000</v>
      </c>
      <c r="P121" s="29">
        <f t="shared" si="3"/>
        <v>205373015.9</v>
      </c>
      <c r="Q121" s="29">
        <f t="shared" si="4"/>
        <v>75988015.87</v>
      </c>
      <c r="R121" s="4">
        <v>0.075</v>
      </c>
      <c r="S121" s="29">
        <f t="shared" si="5"/>
        <v>148792750</v>
      </c>
      <c r="T121" s="29">
        <f t="shared" si="6"/>
        <v>236178968.3</v>
      </c>
      <c r="U121" s="29">
        <f t="shared" si="7"/>
        <v>87386218.25</v>
      </c>
    </row>
    <row r="122" ht="14.25" customHeight="1">
      <c r="A122" s="4">
        <v>120.0</v>
      </c>
      <c r="B122" s="2" t="s">
        <v>426</v>
      </c>
      <c r="C122" s="2" t="s">
        <v>417</v>
      </c>
      <c r="D122" s="3">
        <v>2.6E9</v>
      </c>
      <c r="E122" s="2" t="s">
        <v>427</v>
      </c>
      <c r="F122" s="4" t="str">
        <f>VLOOKUP(B122,Raw_Data_Collection!$B$2:$F$215,5,FALSE)</f>
        <v>N</v>
      </c>
      <c r="G122" s="3">
        <f>VLOOKUP(B122,Raw_Data_Collection!$B$2:$J$215,6,FALSE)</f>
        <v>10000000</v>
      </c>
      <c r="J122" s="2" t="str">
        <f>VLOOKUP(B122,Raw_Data_Collection!$B$2:$J$215,9,FALSE)</f>
        <v/>
      </c>
      <c r="K122" s="18">
        <f>VLOOKUP(B122,Real_Estate_Stats_Preferred!$A$2:$G$215,7,FALSE)</f>
        <v>10000000</v>
      </c>
      <c r="L122" s="18">
        <f t="shared" si="1"/>
        <v>2590000000</v>
      </c>
      <c r="M122" s="4">
        <v>0.37</v>
      </c>
      <c r="N122" s="4">
        <v>0.05</v>
      </c>
      <c r="O122" s="29">
        <f t="shared" si="2"/>
        <v>129500000</v>
      </c>
      <c r="P122" s="29">
        <f t="shared" si="3"/>
        <v>205555555.6</v>
      </c>
      <c r="Q122" s="29">
        <f t="shared" si="4"/>
        <v>76055555.56</v>
      </c>
      <c r="R122" s="4">
        <v>0.075</v>
      </c>
      <c r="S122" s="29">
        <f t="shared" si="5"/>
        <v>148925000</v>
      </c>
      <c r="T122" s="29">
        <f t="shared" si="6"/>
        <v>236388888.9</v>
      </c>
      <c r="U122" s="29">
        <f t="shared" si="7"/>
        <v>87463888.89</v>
      </c>
    </row>
    <row r="123" ht="14.25" customHeight="1">
      <c r="A123" s="4">
        <v>121.0</v>
      </c>
      <c r="B123" s="2" t="s">
        <v>430</v>
      </c>
      <c r="C123" s="2" t="s">
        <v>431</v>
      </c>
      <c r="D123" s="3">
        <v>2.5E9</v>
      </c>
      <c r="E123" s="2" t="s">
        <v>17</v>
      </c>
      <c r="F123" s="4" t="str">
        <f>VLOOKUP(B123,Raw_Data_Collection!$B$2:$F$215,5,FALSE)</f>
        <v>N</v>
      </c>
      <c r="G123" s="3" t="str">
        <f>VLOOKUP(B123,Raw_Data_Collection!$B$2:$J$215,6,FALSE)</f>
        <v/>
      </c>
      <c r="J123" s="2" t="str">
        <f>VLOOKUP(B123,Raw_Data_Collection!$B$2:$J$215,9,FALSE)</f>
        <v/>
      </c>
      <c r="K123" s="18">
        <f>VLOOKUP(B123,Real_Estate_Stats_Preferred!$A$2:$G$215,7,FALSE)</f>
        <v>15900892.86</v>
      </c>
      <c r="L123" s="18">
        <f t="shared" si="1"/>
        <v>2484099107</v>
      </c>
      <c r="M123" s="4">
        <v>0.37</v>
      </c>
      <c r="N123" s="4">
        <v>0.05</v>
      </c>
      <c r="O123" s="29">
        <f t="shared" si="2"/>
        <v>124204955.4</v>
      </c>
      <c r="P123" s="29">
        <f t="shared" si="3"/>
        <v>197150722.8</v>
      </c>
      <c r="Q123" s="29">
        <f t="shared" si="4"/>
        <v>72945767.43</v>
      </c>
      <c r="R123" s="4">
        <v>0.075</v>
      </c>
      <c r="S123" s="29">
        <f t="shared" si="5"/>
        <v>142835698.7</v>
      </c>
      <c r="T123" s="29">
        <f t="shared" si="6"/>
        <v>226723331.2</v>
      </c>
      <c r="U123" s="29">
        <f t="shared" si="7"/>
        <v>83887632.55</v>
      </c>
    </row>
    <row r="124" ht="14.25" customHeight="1">
      <c r="A124" s="4">
        <v>122.0</v>
      </c>
      <c r="B124" s="2" t="s">
        <v>432</v>
      </c>
      <c r="C124" s="2" t="s">
        <v>431</v>
      </c>
      <c r="D124" s="3">
        <v>2.5E9</v>
      </c>
      <c r="E124" s="2" t="s">
        <v>47</v>
      </c>
      <c r="F124" s="4" t="str">
        <f>VLOOKUP(B124,Raw_Data_Collection!$B$2:$F$215,5,FALSE)</f>
        <v>N</v>
      </c>
      <c r="G124" s="3">
        <f>VLOOKUP(B124,Raw_Data_Collection!$B$2:$J$215,6,FALSE)</f>
        <v>120000000</v>
      </c>
      <c r="H124" s="5" t="s">
        <v>433</v>
      </c>
      <c r="I124" s="4">
        <v>2022.0</v>
      </c>
      <c r="J124" s="2" t="str">
        <f>VLOOKUP(B124,Raw_Data_Collection!$B$2:$J$215,9,FALSE)</f>
        <v/>
      </c>
      <c r="K124" s="18">
        <f>VLOOKUP(B124,Real_Estate_Stats_Preferred!$A$2:$G$215,7,FALSE)</f>
        <v>120000000</v>
      </c>
      <c r="L124" s="18">
        <f t="shared" si="1"/>
        <v>2380000000</v>
      </c>
      <c r="M124" s="4">
        <v>0.37</v>
      </c>
      <c r="N124" s="4">
        <v>0.05</v>
      </c>
      <c r="O124" s="29">
        <f t="shared" si="2"/>
        <v>119000000</v>
      </c>
      <c r="P124" s="29">
        <f t="shared" si="3"/>
        <v>188888888.9</v>
      </c>
      <c r="Q124" s="29">
        <f t="shared" si="4"/>
        <v>69888888.89</v>
      </c>
      <c r="R124" s="4">
        <v>0.075</v>
      </c>
      <c r="S124" s="29">
        <f t="shared" si="5"/>
        <v>136850000</v>
      </c>
      <c r="T124" s="29">
        <f t="shared" si="6"/>
        <v>217222222.2</v>
      </c>
      <c r="U124" s="29">
        <f t="shared" si="7"/>
        <v>80372222.22</v>
      </c>
      <c r="V124" s="4"/>
      <c r="W124" s="4"/>
    </row>
    <row r="125" ht="14.25" customHeight="1">
      <c r="A125" s="4">
        <v>123.0</v>
      </c>
      <c r="B125" s="2" t="s">
        <v>434</v>
      </c>
      <c r="C125" s="2" t="s">
        <v>431</v>
      </c>
      <c r="D125" s="3">
        <v>2.5E9</v>
      </c>
      <c r="E125" s="2" t="s">
        <v>435</v>
      </c>
      <c r="F125" s="4" t="str">
        <f>VLOOKUP(B125,Raw_Data_Collection!$B$2:$F$215,5,FALSE)</f>
        <v>N</v>
      </c>
      <c r="G125" s="3">
        <f>VLOOKUP(B125,Raw_Data_Collection!$B$2:$J$215,6,FALSE)</f>
        <v>9918000</v>
      </c>
      <c r="J125" s="18">
        <f>VLOOKUP(B125,Raw_Data_Collection!$B$2:$J$215,9,FALSE)</f>
        <v>9918000</v>
      </c>
      <c r="K125" s="18">
        <f>VLOOKUP(B125,Real_Estate_Stats_Preferred!$A$2:$G$215,7,FALSE)</f>
        <v>15900892.86</v>
      </c>
      <c r="L125" s="18">
        <f t="shared" si="1"/>
        <v>2484099107</v>
      </c>
      <c r="M125" s="4">
        <v>0.37</v>
      </c>
      <c r="N125" s="4">
        <v>0.05</v>
      </c>
      <c r="O125" s="29">
        <f t="shared" si="2"/>
        <v>124204955.4</v>
      </c>
      <c r="P125" s="29">
        <f t="shared" si="3"/>
        <v>197150722.8</v>
      </c>
      <c r="Q125" s="29">
        <f t="shared" si="4"/>
        <v>72945767.43</v>
      </c>
      <c r="R125" s="4">
        <v>0.075</v>
      </c>
      <c r="S125" s="29">
        <f t="shared" si="5"/>
        <v>142835698.7</v>
      </c>
      <c r="T125" s="29">
        <f t="shared" si="6"/>
        <v>226723331.2</v>
      </c>
      <c r="U125" s="29">
        <f t="shared" si="7"/>
        <v>83887632.55</v>
      </c>
    </row>
    <row r="126" ht="14.25" customHeight="1">
      <c r="A126" s="4">
        <v>124.0</v>
      </c>
      <c r="B126" s="2" t="s">
        <v>438</v>
      </c>
      <c r="C126" s="2" t="s">
        <v>439</v>
      </c>
      <c r="D126" s="3">
        <v>2.4E9</v>
      </c>
      <c r="E126" s="2" t="s">
        <v>440</v>
      </c>
      <c r="F126" s="4" t="str">
        <f>VLOOKUP(B126,Raw_Data_Collection!$B$2:$F$215,5,FALSE)</f>
        <v>N</v>
      </c>
      <c r="G126" s="3">
        <f>VLOOKUP(B126,Raw_Data_Collection!$B$2:$J$215,6,FALSE)</f>
        <v>11668997</v>
      </c>
      <c r="J126" s="2" t="str">
        <f>VLOOKUP(B126,Raw_Data_Collection!$B$2:$J$215,9,FALSE)</f>
        <v/>
      </c>
      <c r="K126" s="18">
        <f>VLOOKUP(B126,Real_Estate_Stats_Preferred!$A$2:$G$215,7,FALSE)</f>
        <v>11668997</v>
      </c>
      <c r="L126" s="18">
        <f t="shared" si="1"/>
        <v>2388331003</v>
      </c>
      <c r="M126" s="4">
        <v>0.37</v>
      </c>
      <c r="N126" s="4">
        <v>0.05</v>
      </c>
      <c r="O126" s="29">
        <f t="shared" si="2"/>
        <v>119416550.2</v>
      </c>
      <c r="P126" s="29">
        <f t="shared" si="3"/>
        <v>189550079.6</v>
      </c>
      <c r="Q126" s="29">
        <f t="shared" si="4"/>
        <v>70133529.45</v>
      </c>
      <c r="R126" s="4">
        <v>0.075</v>
      </c>
      <c r="S126" s="29">
        <f t="shared" si="5"/>
        <v>137329032.7</v>
      </c>
      <c r="T126" s="29">
        <f t="shared" si="6"/>
        <v>217982591.5</v>
      </c>
      <c r="U126" s="29">
        <f t="shared" si="7"/>
        <v>80653558.87</v>
      </c>
    </row>
    <row r="127" ht="14.25" customHeight="1">
      <c r="A127" s="4">
        <v>125.0</v>
      </c>
      <c r="B127" s="2" t="s">
        <v>443</v>
      </c>
      <c r="C127" s="2" t="s">
        <v>439</v>
      </c>
      <c r="D127" s="3">
        <v>2.4E9</v>
      </c>
      <c r="E127" s="2" t="s">
        <v>17</v>
      </c>
      <c r="F127" s="4" t="str">
        <f>VLOOKUP(B127,Raw_Data_Collection!$B$2:$F$215,5,FALSE)</f>
        <v>N</v>
      </c>
      <c r="G127" s="3" t="str">
        <f>VLOOKUP(B127,Raw_Data_Collection!$B$2:$J$215,6,FALSE)</f>
        <v/>
      </c>
      <c r="J127" s="2" t="str">
        <f>VLOOKUP(B127,Raw_Data_Collection!$B$2:$J$215,9,FALSE)</f>
        <v/>
      </c>
      <c r="K127" s="18">
        <f>VLOOKUP(B127,Real_Estate_Stats_Preferred!$A$2:$G$215,7,FALSE)</f>
        <v>15264857.14</v>
      </c>
      <c r="L127" s="18">
        <f t="shared" si="1"/>
        <v>2384735143</v>
      </c>
      <c r="M127" s="4">
        <v>0.37</v>
      </c>
      <c r="N127" s="4">
        <v>0.05</v>
      </c>
      <c r="O127" s="29">
        <f t="shared" si="2"/>
        <v>119236757.1</v>
      </c>
      <c r="P127" s="29">
        <f t="shared" si="3"/>
        <v>189264693.9</v>
      </c>
      <c r="Q127" s="29">
        <f t="shared" si="4"/>
        <v>70027936.73</v>
      </c>
      <c r="R127" s="4">
        <v>0.075</v>
      </c>
      <c r="S127" s="29">
        <f t="shared" si="5"/>
        <v>137122270.7</v>
      </c>
      <c r="T127" s="29">
        <f t="shared" si="6"/>
        <v>217654398</v>
      </c>
      <c r="U127" s="29">
        <f t="shared" si="7"/>
        <v>80532127.24</v>
      </c>
    </row>
    <row r="128" ht="14.25" customHeight="1">
      <c r="A128" s="4">
        <v>126.0</v>
      </c>
      <c r="B128" s="2" t="s">
        <v>445</v>
      </c>
      <c r="C128" s="2" t="s">
        <v>439</v>
      </c>
      <c r="D128" s="3">
        <v>2.4E9</v>
      </c>
      <c r="E128" s="2" t="s">
        <v>17</v>
      </c>
      <c r="F128" s="4" t="str">
        <f>VLOOKUP(B128,Raw_Data_Collection!$B$2:$F$215,5,FALSE)</f>
        <v>N</v>
      </c>
      <c r="G128" s="3">
        <f>VLOOKUP(B128,Raw_Data_Collection!$B$2:$J$215,6,FALSE)</f>
        <v>13339211</v>
      </c>
      <c r="J128" s="2" t="str">
        <f>VLOOKUP(B128,Raw_Data_Collection!$B$2:$J$215,9,FALSE)</f>
        <v/>
      </c>
      <c r="K128" s="18">
        <f>VLOOKUP(B128,Real_Estate_Stats_Preferred!$A$2:$G$215,7,FALSE)</f>
        <v>13339211</v>
      </c>
      <c r="L128" s="18">
        <f t="shared" si="1"/>
        <v>2386660789</v>
      </c>
      <c r="M128" s="4">
        <v>0.37</v>
      </c>
      <c r="N128" s="4">
        <v>0.05</v>
      </c>
      <c r="O128" s="29">
        <f t="shared" si="2"/>
        <v>119333039.5</v>
      </c>
      <c r="P128" s="29">
        <f t="shared" si="3"/>
        <v>189417522.9</v>
      </c>
      <c r="Q128" s="29">
        <f t="shared" si="4"/>
        <v>70084483.49</v>
      </c>
      <c r="R128" s="4">
        <v>0.075</v>
      </c>
      <c r="S128" s="29">
        <f t="shared" si="5"/>
        <v>137232995.4</v>
      </c>
      <c r="T128" s="29">
        <f t="shared" si="6"/>
        <v>217830151.4</v>
      </c>
      <c r="U128" s="29">
        <f t="shared" si="7"/>
        <v>80597156.01</v>
      </c>
    </row>
    <row r="129" ht="14.25" customHeight="1">
      <c r="A129" s="4">
        <v>127.0</v>
      </c>
      <c r="B129" s="2" t="s">
        <v>448</v>
      </c>
      <c r="C129" s="2" t="s">
        <v>449</v>
      </c>
      <c r="D129" s="3">
        <v>2.3E9</v>
      </c>
      <c r="E129" s="2" t="s">
        <v>47</v>
      </c>
      <c r="F129" s="4" t="str">
        <f>VLOOKUP(B129,Raw_Data_Collection!$B$2:$F$215,5,FALSE)</f>
        <v>N</v>
      </c>
      <c r="G129" s="3">
        <f>VLOOKUP(B129,Raw_Data_Collection!$B$2:$J$215,6,FALSE)</f>
        <v>8683316</v>
      </c>
      <c r="J129" s="2" t="str">
        <f>VLOOKUP(B129,Raw_Data_Collection!$B$2:$J$215,9,FALSE)</f>
        <v/>
      </c>
      <c r="K129" s="18">
        <f>VLOOKUP(B129,Real_Estate_Stats_Preferred!$A$2:$G$215,7,FALSE)</f>
        <v>8683316</v>
      </c>
      <c r="L129" s="18">
        <f t="shared" si="1"/>
        <v>2291316684</v>
      </c>
      <c r="M129" s="4">
        <v>0.37</v>
      </c>
      <c r="N129" s="4">
        <v>0.05</v>
      </c>
      <c r="O129" s="29">
        <f t="shared" si="2"/>
        <v>114565834.2</v>
      </c>
      <c r="P129" s="29">
        <f t="shared" si="3"/>
        <v>181850530.5</v>
      </c>
      <c r="Q129" s="29">
        <f t="shared" si="4"/>
        <v>67284696.28</v>
      </c>
      <c r="R129" s="4">
        <v>0.075</v>
      </c>
      <c r="S129" s="29">
        <f t="shared" si="5"/>
        <v>131750709.3</v>
      </c>
      <c r="T129" s="29">
        <f t="shared" si="6"/>
        <v>209128110</v>
      </c>
      <c r="U129" s="29">
        <f t="shared" si="7"/>
        <v>77377400.72</v>
      </c>
    </row>
    <row r="130" ht="14.25" customHeight="1">
      <c r="A130" s="4">
        <v>128.0</v>
      </c>
      <c r="B130" s="2" t="s">
        <v>452</v>
      </c>
      <c r="C130" s="2" t="s">
        <v>449</v>
      </c>
      <c r="D130" s="3">
        <v>2.3E9</v>
      </c>
      <c r="E130" s="2" t="s">
        <v>47</v>
      </c>
      <c r="F130" s="4" t="str">
        <f>VLOOKUP(B130,Raw_Data_Collection!$B$2:$F$215,5,FALSE)</f>
        <v>N</v>
      </c>
      <c r="G130" s="3">
        <f>VLOOKUP(B130,Raw_Data_Collection!$B$2:$J$215,6,FALSE)</f>
        <v>68820000</v>
      </c>
      <c r="H130" s="5" t="s">
        <v>453</v>
      </c>
      <c r="I130" s="4">
        <v>2018.0</v>
      </c>
      <c r="J130" s="2" t="str">
        <f>VLOOKUP(B130,Raw_Data_Collection!$B$2:$J$215,9,FALSE)</f>
        <v/>
      </c>
      <c r="K130" s="18">
        <f>VLOOKUP(B130,Real_Estate_Stats_Preferred!$A$2:$G$215,7,FALSE)</f>
        <v>68820000</v>
      </c>
      <c r="L130" s="18">
        <f t="shared" si="1"/>
        <v>2231180000</v>
      </c>
      <c r="M130" s="4">
        <v>0.37</v>
      </c>
      <c r="N130" s="4">
        <v>0.05</v>
      </c>
      <c r="O130" s="29">
        <f t="shared" si="2"/>
        <v>111559000</v>
      </c>
      <c r="P130" s="29">
        <f t="shared" si="3"/>
        <v>177077777.8</v>
      </c>
      <c r="Q130" s="29">
        <f t="shared" si="4"/>
        <v>65518777.78</v>
      </c>
      <c r="R130" s="4">
        <v>0.075</v>
      </c>
      <c r="S130" s="29">
        <f t="shared" si="5"/>
        <v>128292850</v>
      </c>
      <c r="T130" s="29">
        <f t="shared" si="6"/>
        <v>203639444.4</v>
      </c>
      <c r="U130" s="29">
        <f t="shared" si="7"/>
        <v>75346594.44</v>
      </c>
      <c r="V130" s="4"/>
      <c r="W130" s="4"/>
    </row>
    <row r="131" ht="14.25" customHeight="1">
      <c r="A131" s="4">
        <v>129.0</v>
      </c>
      <c r="B131" s="2" t="s">
        <v>454</v>
      </c>
      <c r="C131" s="2" t="s">
        <v>449</v>
      </c>
      <c r="D131" s="3">
        <v>2.3E9</v>
      </c>
      <c r="E131" s="2" t="s">
        <v>354</v>
      </c>
      <c r="F131" s="4" t="str">
        <f>VLOOKUP(B131,Raw_Data_Collection!$B$2:$F$215,5,FALSE)</f>
        <v>N</v>
      </c>
      <c r="G131" s="3">
        <f>VLOOKUP(B131,Raw_Data_Collection!$B$2:$J$215,6,FALSE)</f>
        <v>11000000</v>
      </c>
      <c r="H131" s="5" t="s">
        <v>455</v>
      </c>
      <c r="I131" s="4">
        <v>2026.0</v>
      </c>
      <c r="J131" s="2" t="str">
        <f>VLOOKUP(B131,Raw_Data_Collection!$B$2:$J$215,9,FALSE)</f>
        <v/>
      </c>
      <c r="K131" s="18">
        <f>VLOOKUP(B131,Real_Estate_Stats_Preferred!$A$2:$G$215,7,FALSE)</f>
        <v>11000000</v>
      </c>
      <c r="L131" s="18">
        <f t="shared" si="1"/>
        <v>2289000000</v>
      </c>
      <c r="M131" s="4">
        <v>0.37</v>
      </c>
      <c r="N131" s="4">
        <v>0.05</v>
      </c>
      <c r="O131" s="29">
        <f t="shared" si="2"/>
        <v>114450000</v>
      </c>
      <c r="P131" s="29">
        <f t="shared" si="3"/>
        <v>181666666.7</v>
      </c>
      <c r="Q131" s="29">
        <f t="shared" si="4"/>
        <v>67216666.67</v>
      </c>
      <c r="R131" s="4">
        <v>0.075</v>
      </c>
      <c r="S131" s="29">
        <f t="shared" si="5"/>
        <v>131617500</v>
      </c>
      <c r="T131" s="29">
        <f t="shared" si="6"/>
        <v>208916666.7</v>
      </c>
      <c r="U131" s="29">
        <f t="shared" si="7"/>
        <v>77299166.67</v>
      </c>
      <c r="V131" s="4"/>
      <c r="W131" s="4"/>
    </row>
    <row r="132" ht="14.25" customHeight="1">
      <c r="A132" s="4">
        <v>130.0</v>
      </c>
      <c r="B132" s="2" t="s">
        <v>456</v>
      </c>
      <c r="C132" s="2" t="s">
        <v>449</v>
      </c>
      <c r="D132" s="3">
        <v>2.3E9</v>
      </c>
      <c r="E132" s="2" t="s">
        <v>90</v>
      </c>
      <c r="F132" s="4" t="str">
        <f>VLOOKUP(B132,Raw_Data_Collection!$B$2:$F$215,5,FALSE)</f>
        <v>N</v>
      </c>
      <c r="G132" s="3">
        <f>VLOOKUP(B132,Raw_Data_Collection!$B$2:$J$215,6,FALSE)</f>
        <v>19800000</v>
      </c>
      <c r="H132" s="5" t="s">
        <v>457</v>
      </c>
      <c r="I132" s="4">
        <v>2007.0</v>
      </c>
      <c r="J132" s="2" t="str">
        <f>VLOOKUP(B132,Raw_Data_Collection!$B$2:$J$215,9,FALSE)</f>
        <v/>
      </c>
      <c r="K132" s="18">
        <f>VLOOKUP(B132,Real_Estate_Stats_Preferred!$A$2:$G$215,7,FALSE)</f>
        <v>19800000</v>
      </c>
      <c r="L132" s="18">
        <f t="shared" si="1"/>
        <v>2280200000</v>
      </c>
      <c r="M132" s="4">
        <v>0.37</v>
      </c>
      <c r="N132" s="4">
        <v>0.05</v>
      </c>
      <c r="O132" s="29">
        <f t="shared" si="2"/>
        <v>114010000</v>
      </c>
      <c r="P132" s="29">
        <f t="shared" si="3"/>
        <v>180968254</v>
      </c>
      <c r="Q132" s="29">
        <f t="shared" si="4"/>
        <v>66958253.97</v>
      </c>
      <c r="R132" s="4">
        <v>0.075</v>
      </c>
      <c r="S132" s="29">
        <f t="shared" si="5"/>
        <v>131111500</v>
      </c>
      <c r="T132" s="29">
        <f t="shared" si="6"/>
        <v>208113492.1</v>
      </c>
      <c r="U132" s="29">
        <f t="shared" si="7"/>
        <v>77001992.06</v>
      </c>
      <c r="V132" s="4"/>
      <c r="W132" s="4"/>
    </row>
    <row r="133" ht="14.25" customHeight="1">
      <c r="A133" s="4">
        <v>131.0</v>
      </c>
      <c r="B133" s="2" t="s">
        <v>458</v>
      </c>
      <c r="C133" s="2" t="s">
        <v>449</v>
      </c>
      <c r="D133" s="3">
        <v>2.3E9</v>
      </c>
      <c r="E133" s="2" t="s">
        <v>100</v>
      </c>
      <c r="F133" s="4" t="str">
        <f>VLOOKUP(B133,Raw_Data_Collection!$B$2:$F$215,5,FALSE)</f>
        <v>N</v>
      </c>
      <c r="G133" s="3" t="str">
        <f>VLOOKUP(B133,Raw_Data_Collection!$B$2:$J$215,6,FALSE)</f>
        <v/>
      </c>
      <c r="J133" s="2" t="str">
        <f>VLOOKUP(B133,Raw_Data_Collection!$B$2:$J$215,9,FALSE)</f>
        <v/>
      </c>
      <c r="K133" s="18">
        <f>VLOOKUP(B133,Real_Estate_Stats_Preferred!$A$2:$G$215,7,FALSE)</f>
        <v>14628821.43</v>
      </c>
      <c r="L133" s="18">
        <f t="shared" si="1"/>
        <v>2285371179</v>
      </c>
      <c r="M133" s="4">
        <v>0.37</v>
      </c>
      <c r="N133" s="4">
        <v>0.05</v>
      </c>
      <c r="O133" s="29">
        <f t="shared" si="2"/>
        <v>114268558.9</v>
      </c>
      <c r="P133" s="29">
        <f t="shared" si="3"/>
        <v>181378665</v>
      </c>
      <c r="Q133" s="29">
        <f t="shared" si="4"/>
        <v>67110106.04</v>
      </c>
      <c r="R133" s="4">
        <v>0.075</v>
      </c>
      <c r="S133" s="29">
        <f t="shared" si="5"/>
        <v>131408842.8</v>
      </c>
      <c r="T133" s="29">
        <f t="shared" si="6"/>
        <v>208585464.7</v>
      </c>
      <c r="U133" s="29">
        <f t="shared" si="7"/>
        <v>77176621.94</v>
      </c>
    </row>
    <row r="134" ht="14.25" customHeight="1">
      <c r="A134" s="4">
        <v>132.0</v>
      </c>
      <c r="B134" s="2" t="s">
        <v>459</v>
      </c>
      <c r="C134" s="2" t="s">
        <v>449</v>
      </c>
      <c r="D134" s="3">
        <v>2.3E9</v>
      </c>
      <c r="E134" s="2" t="s">
        <v>440</v>
      </c>
      <c r="F134" s="4" t="str">
        <f>VLOOKUP(B134,Raw_Data_Collection!$B$2:$F$215,5,FALSE)</f>
        <v>N</v>
      </c>
      <c r="G134" s="3">
        <f>VLOOKUP(B134,Raw_Data_Collection!$B$2:$J$215,6,FALSE)</f>
        <v>9411000</v>
      </c>
      <c r="J134" s="2" t="str">
        <f>VLOOKUP(B134,Raw_Data_Collection!$B$2:$J$215,9,FALSE)</f>
        <v/>
      </c>
      <c r="K134" s="18">
        <f>VLOOKUP(B134,Real_Estate_Stats_Preferred!$A$2:$G$215,7,FALSE)</f>
        <v>9411000</v>
      </c>
      <c r="L134" s="18">
        <f t="shared" si="1"/>
        <v>2290589000</v>
      </c>
      <c r="M134" s="4">
        <v>0.37</v>
      </c>
      <c r="N134" s="4">
        <v>0.05</v>
      </c>
      <c r="O134" s="29">
        <f t="shared" si="2"/>
        <v>114529450</v>
      </c>
      <c r="P134" s="29">
        <f t="shared" si="3"/>
        <v>181792777.8</v>
      </c>
      <c r="Q134" s="29">
        <f t="shared" si="4"/>
        <v>67263327.78</v>
      </c>
      <c r="R134" s="4">
        <v>0.075</v>
      </c>
      <c r="S134" s="29">
        <f t="shared" si="5"/>
        <v>131708867.5</v>
      </c>
      <c r="T134" s="29">
        <f t="shared" si="6"/>
        <v>209061694.4</v>
      </c>
      <c r="U134" s="29">
        <f t="shared" si="7"/>
        <v>77352826.94</v>
      </c>
    </row>
    <row r="135" ht="14.25" customHeight="1">
      <c r="A135" s="4">
        <v>133.0</v>
      </c>
      <c r="B135" s="2" t="s">
        <v>462</v>
      </c>
      <c r="C135" s="2" t="s">
        <v>463</v>
      </c>
      <c r="D135" s="3">
        <v>2.2E9</v>
      </c>
      <c r="E135" s="2" t="s">
        <v>47</v>
      </c>
      <c r="F135" s="4" t="str">
        <f>VLOOKUP(B135,Raw_Data_Collection!$B$2:$F$215,5,FALSE)</f>
        <v>N</v>
      </c>
      <c r="G135" s="3" t="str">
        <f>VLOOKUP(B135,Raw_Data_Collection!$B$2:$J$215,6,FALSE)</f>
        <v/>
      </c>
      <c r="J135" s="2" t="str">
        <f>VLOOKUP(B135,Raw_Data_Collection!$B$2:$J$215,9,FALSE)</f>
        <v/>
      </c>
      <c r="K135" s="18">
        <f>VLOOKUP(B135,Real_Estate_Stats_Preferred!$A$2:$G$215,7,FALSE)</f>
        <v>13992785.71</v>
      </c>
      <c r="L135" s="18">
        <f t="shared" si="1"/>
        <v>2186007214</v>
      </c>
      <c r="M135" s="4">
        <v>0.37</v>
      </c>
      <c r="N135" s="4">
        <v>0.05</v>
      </c>
      <c r="O135" s="29">
        <f t="shared" si="2"/>
        <v>109300360.7</v>
      </c>
      <c r="P135" s="29">
        <f t="shared" si="3"/>
        <v>173492636.1</v>
      </c>
      <c r="Q135" s="29">
        <f t="shared" si="4"/>
        <v>64192275.34</v>
      </c>
      <c r="R135" s="4">
        <v>0.075</v>
      </c>
      <c r="S135" s="29">
        <f t="shared" si="5"/>
        <v>125695414.8</v>
      </c>
      <c r="T135" s="29">
        <f t="shared" si="6"/>
        <v>199516531.5</v>
      </c>
      <c r="U135" s="29">
        <f t="shared" si="7"/>
        <v>73821116.64</v>
      </c>
    </row>
    <row r="136" ht="14.25" customHeight="1">
      <c r="A136" s="4">
        <v>134.0</v>
      </c>
      <c r="B136" s="2" t="s">
        <v>464</v>
      </c>
      <c r="C136" s="2" t="s">
        <v>463</v>
      </c>
      <c r="D136" s="3">
        <v>2.2E9</v>
      </c>
      <c r="E136" s="2" t="s">
        <v>90</v>
      </c>
      <c r="F136" s="4" t="str">
        <f>VLOOKUP(B136,Raw_Data_Collection!$B$2:$F$215,5,FALSE)</f>
        <v>N</v>
      </c>
      <c r="G136" s="3">
        <f>VLOOKUP(B136,Raw_Data_Collection!$B$2:$J$215,6,FALSE)</f>
        <v>44000000</v>
      </c>
      <c r="J136" s="18">
        <f>VLOOKUP(B136,Raw_Data_Collection!$B$2:$J$215,9,FALSE)</f>
        <v>54062200</v>
      </c>
      <c r="K136" s="18">
        <f>VLOOKUP(B136,Real_Estate_Stats_Preferred!$A$2:$G$215,7,FALSE)</f>
        <v>13992785.71</v>
      </c>
      <c r="L136" s="18">
        <f t="shared" si="1"/>
        <v>2186007214</v>
      </c>
      <c r="M136" s="4">
        <v>0.37</v>
      </c>
      <c r="N136" s="4">
        <v>0.05</v>
      </c>
      <c r="O136" s="29">
        <f t="shared" si="2"/>
        <v>109300360.7</v>
      </c>
      <c r="P136" s="29">
        <f t="shared" si="3"/>
        <v>173492636.1</v>
      </c>
      <c r="Q136" s="29">
        <f t="shared" si="4"/>
        <v>64192275.34</v>
      </c>
      <c r="R136" s="4">
        <v>0.075</v>
      </c>
      <c r="S136" s="29">
        <f t="shared" si="5"/>
        <v>125695414.8</v>
      </c>
      <c r="T136" s="29">
        <f t="shared" si="6"/>
        <v>199516531.5</v>
      </c>
      <c r="U136" s="29">
        <f t="shared" si="7"/>
        <v>73821116.64</v>
      </c>
    </row>
    <row r="137" ht="14.25" customHeight="1">
      <c r="A137" s="4">
        <v>135.0</v>
      </c>
      <c r="B137" s="2" t="s">
        <v>469</v>
      </c>
      <c r="C137" s="2" t="s">
        <v>463</v>
      </c>
      <c r="D137" s="3">
        <v>2.2E9</v>
      </c>
      <c r="E137" s="2" t="s">
        <v>47</v>
      </c>
      <c r="F137" s="4" t="str">
        <f>VLOOKUP(B137,Raw_Data_Collection!$B$2:$F$215,5,FALSE)</f>
        <v>N</v>
      </c>
      <c r="G137" s="3">
        <f>VLOOKUP(B137,Raw_Data_Collection!$B$2:$J$215,6,FALSE)</f>
        <v>38750000</v>
      </c>
      <c r="H137" s="5" t="s">
        <v>470</v>
      </c>
      <c r="I137" s="4">
        <v>2017.0</v>
      </c>
      <c r="J137" s="2" t="str">
        <f>VLOOKUP(B137,Raw_Data_Collection!$B$2:$J$215,9,FALSE)</f>
        <v/>
      </c>
      <c r="K137" s="18">
        <f>VLOOKUP(B137,Real_Estate_Stats_Preferred!$A$2:$G$215,7,FALSE)</f>
        <v>38750000</v>
      </c>
      <c r="L137" s="18">
        <f t="shared" si="1"/>
        <v>2161250000</v>
      </c>
      <c r="M137" s="4">
        <v>0.37</v>
      </c>
      <c r="N137" s="4">
        <v>0.05</v>
      </c>
      <c r="O137" s="29">
        <f t="shared" si="2"/>
        <v>108062500</v>
      </c>
      <c r="P137" s="29">
        <f t="shared" si="3"/>
        <v>171527777.8</v>
      </c>
      <c r="Q137" s="29">
        <f t="shared" si="4"/>
        <v>63465277.78</v>
      </c>
      <c r="R137" s="4">
        <v>0.075</v>
      </c>
      <c r="S137" s="29">
        <f t="shared" si="5"/>
        <v>124271875</v>
      </c>
      <c r="T137" s="29">
        <f t="shared" si="6"/>
        <v>197256944.4</v>
      </c>
      <c r="U137" s="29">
        <f t="shared" si="7"/>
        <v>72985069.44</v>
      </c>
      <c r="V137" s="4"/>
      <c r="W137" s="4"/>
    </row>
    <row r="138" ht="14.25" customHeight="1">
      <c r="A138" s="4">
        <v>136.0</v>
      </c>
      <c r="B138" s="2" t="s">
        <v>471</v>
      </c>
      <c r="C138" s="2" t="s">
        <v>463</v>
      </c>
      <c r="D138" s="3">
        <v>2.2E9</v>
      </c>
      <c r="E138" s="2" t="s">
        <v>100</v>
      </c>
      <c r="F138" s="4" t="str">
        <f>VLOOKUP(B138,Raw_Data_Collection!$B$2:$F$215,5,FALSE)</f>
        <v>N</v>
      </c>
      <c r="G138" s="3" t="str">
        <f>VLOOKUP(B138,Raw_Data_Collection!$B$2:$J$215,6,FALSE)</f>
        <v/>
      </c>
      <c r="J138" s="2" t="str">
        <f>VLOOKUP(B138,Raw_Data_Collection!$B$2:$J$215,9,FALSE)</f>
        <v/>
      </c>
      <c r="K138" s="18">
        <f>VLOOKUP(B138,Real_Estate_Stats_Preferred!$A$2:$G$215,7,FALSE)</f>
        <v>13992785.71</v>
      </c>
      <c r="L138" s="18">
        <f t="shared" si="1"/>
        <v>2186007214</v>
      </c>
      <c r="M138" s="4">
        <v>0.37</v>
      </c>
      <c r="N138" s="4">
        <v>0.05</v>
      </c>
      <c r="O138" s="29">
        <f t="shared" si="2"/>
        <v>109300360.7</v>
      </c>
      <c r="P138" s="29">
        <f t="shared" si="3"/>
        <v>173492636.1</v>
      </c>
      <c r="Q138" s="29">
        <f t="shared" si="4"/>
        <v>64192275.34</v>
      </c>
      <c r="R138" s="4">
        <v>0.075</v>
      </c>
      <c r="S138" s="29">
        <f t="shared" si="5"/>
        <v>125695414.8</v>
      </c>
      <c r="T138" s="29">
        <f t="shared" si="6"/>
        <v>199516531.5</v>
      </c>
      <c r="U138" s="29">
        <f t="shared" si="7"/>
        <v>73821116.64</v>
      </c>
    </row>
    <row r="139" ht="14.25" customHeight="1">
      <c r="A139" s="4">
        <v>137.0</v>
      </c>
      <c r="B139" s="2" t="s">
        <v>473</v>
      </c>
      <c r="C139" s="2" t="s">
        <v>463</v>
      </c>
      <c r="D139" s="3">
        <v>2.2E9</v>
      </c>
      <c r="E139" s="2" t="s">
        <v>113</v>
      </c>
      <c r="F139" s="4" t="str">
        <f>VLOOKUP(B139,Raw_Data_Collection!$B$2:$F$215,5,FALSE)</f>
        <v>N</v>
      </c>
      <c r="G139" s="3">
        <f>VLOOKUP(B139,Raw_Data_Collection!$B$2:$J$215,6,FALSE)</f>
        <v>6490000</v>
      </c>
      <c r="J139" s="2" t="str">
        <f>VLOOKUP(B139,Raw_Data_Collection!$B$2:$J$215,9,FALSE)</f>
        <v/>
      </c>
      <c r="K139" s="18">
        <f>VLOOKUP(B139,Real_Estate_Stats_Preferred!$A$2:$G$215,7,FALSE)</f>
        <v>13992785.71</v>
      </c>
      <c r="L139" s="18">
        <f t="shared" si="1"/>
        <v>2186007214</v>
      </c>
      <c r="M139" s="4">
        <v>0.37</v>
      </c>
      <c r="N139" s="4">
        <v>0.05</v>
      </c>
      <c r="O139" s="29">
        <f t="shared" si="2"/>
        <v>109300360.7</v>
      </c>
      <c r="P139" s="29">
        <f t="shared" si="3"/>
        <v>173492636.1</v>
      </c>
      <c r="Q139" s="29">
        <f t="shared" si="4"/>
        <v>64192275.34</v>
      </c>
      <c r="R139" s="4">
        <v>0.075</v>
      </c>
      <c r="S139" s="29">
        <f t="shared" si="5"/>
        <v>125695414.8</v>
      </c>
      <c r="T139" s="29">
        <f t="shared" si="6"/>
        <v>199516531.5</v>
      </c>
      <c r="U139" s="29">
        <f t="shared" si="7"/>
        <v>73821116.64</v>
      </c>
    </row>
    <row r="140" ht="14.25" customHeight="1">
      <c r="A140" s="4">
        <v>138.0</v>
      </c>
      <c r="B140" s="2" t="s">
        <v>475</v>
      </c>
      <c r="C140" s="2" t="s">
        <v>463</v>
      </c>
      <c r="D140" s="3">
        <v>2.2E9</v>
      </c>
      <c r="E140" s="2" t="s">
        <v>90</v>
      </c>
      <c r="F140" s="4" t="str">
        <f>VLOOKUP(B140,Raw_Data_Collection!$B$2:$F$215,5,FALSE)</f>
        <v>N</v>
      </c>
      <c r="G140" s="3">
        <f>VLOOKUP(B140,Raw_Data_Collection!$B$2:$J$215,6,FALSE)</f>
        <v>30000000</v>
      </c>
      <c r="H140" s="5" t="s">
        <v>476</v>
      </c>
      <c r="I140" s="4">
        <v>2019.0</v>
      </c>
      <c r="J140" s="2" t="str">
        <f>VLOOKUP(B140,Raw_Data_Collection!$B$2:$J$215,9,FALSE)</f>
        <v/>
      </c>
      <c r="K140" s="18">
        <f>VLOOKUP(B140,Real_Estate_Stats_Preferred!$A$2:$G$215,7,FALSE)</f>
        <v>30000000</v>
      </c>
      <c r="L140" s="18">
        <f t="shared" si="1"/>
        <v>2170000000</v>
      </c>
      <c r="M140" s="4">
        <v>0.37</v>
      </c>
      <c r="N140" s="4">
        <v>0.05</v>
      </c>
      <c r="O140" s="29">
        <f t="shared" si="2"/>
        <v>108500000</v>
      </c>
      <c r="P140" s="29">
        <f t="shared" si="3"/>
        <v>172222222.2</v>
      </c>
      <c r="Q140" s="29">
        <f t="shared" si="4"/>
        <v>63722222.22</v>
      </c>
      <c r="R140" s="4">
        <v>0.075</v>
      </c>
      <c r="S140" s="29">
        <f t="shared" si="5"/>
        <v>124775000</v>
      </c>
      <c r="T140" s="29">
        <f t="shared" si="6"/>
        <v>198055555.6</v>
      </c>
      <c r="U140" s="29">
        <f t="shared" si="7"/>
        <v>73280555.56</v>
      </c>
      <c r="V140" s="4"/>
      <c r="W140" s="4"/>
    </row>
    <row r="141" ht="14.25" customHeight="1">
      <c r="A141" s="4">
        <v>139.0</v>
      </c>
      <c r="B141" s="2" t="s">
        <v>477</v>
      </c>
      <c r="C141" s="2" t="s">
        <v>463</v>
      </c>
      <c r="D141" s="3">
        <v>2.2E9</v>
      </c>
      <c r="E141" s="2" t="s">
        <v>100</v>
      </c>
      <c r="F141" s="4" t="str">
        <f>VLOOKUP(B141,Raw_Data_Collection!$B$2:$F$215,5,FALSE)</f>
        <v>N</v>
      </c>
      <c r="G141" s="3" t="str">
        <f>VLOOKUP(B141,Raw_Data_Collection!$B$2:$J$215,6,FALSE)</f>
        <v/>
      </c>
      <c r="J141" s="2" t="str">
        <f>VLOOKUP(B141,Raw_Data_Collection!$B$2:$J$215,9,FALSE)</f>
        <v/>
      </c>
      <c r="K141" s="18">
        <f>VLOOKUP(B141,Real_Estate_Stats_Preferred!$A$2:$G$215,7,FALSE)</f>
        <v>13992785.71</v>
      </c>
      <c r="L141" s="18">
        <f t="shared" si="1"/>
        <v>2186007214</v>
      </c>
      <c r="M141" s="4">
        <v>0.37</v>
      </c>
      <c r="N141" s="4">
        <v>0.05</v>
      </c>
      <c r="O141" s="29">
        <f t="shared" si="2"/>
        <v>109300360.7</v>
      </c>
      <c r="P141" s="29">
        <f t="shared" si="3"/>
        <v>173492636.1</v>
      </c>
      <c r="Q141" s="29">
        <f t="shared" si="4"/>
        <v>64192275.34</v>
      </c>
      <c r="R141" s="4">
        <v>0.075</v>
      </c>
      <c r="S141" s="29">
        <f t="shared" si="5"/>
        <v>125695414.8</v>
      </c>
      <c r="T141" s="29">
        <f t="shared" si="6"/>
        <v>199516531.5</v>
      </c>
      <c r="U141" s="29">
        <f t="shared" si="7"/>
        <v>73821116.64</v>
      </c>
    </row>
    <row r="142" ht="14.25" customHeight="1">
      <c r="A142" s="4">
        <v>140.0</v>
      </c>
      <c r="B142" s="2" t="s">
        <v>478</v>
      </c>
      <c r="C142" s="2" t="s">
        <v>463</v>
      </c>
      <c r="D142" s="3">
        <v>2.2E9</v>
      </c>
      <c r="E142" s="2" t="s">
        <v>100</v>
      </c>
      <c r="F142" s="4" t="str">
        <f>VLOOKUP(B142,Raw_Data_Collection!$B$2:$F$215,5,FALSE)</f>
        <v>N</v>
      </c>
      <c r="G142" s="3">
        <f>VLOOKUP(B142,Raw_Data_Collection!$B$2:$J$215,6,FALSE)</f>
        <v>5328000</v>
      </c>
      <c r="J142" s="2" t="str">
        <f>VLOOKUP(B142,Raw_Data_Collection!$B$2:$J$215,9,FALSE)</f>
        <v/>
      </c>
      <c r="K142" s="18">
        <f>VLOOKUP(B142,Real_Estate_Stats_Preferred!$A$2:$G$215,7,FALSE)</f>
        <v>13992785.71</v>
      </c>
      <c r="L142" s="18">
        <f t="shared" si="1"/>
        <v>2186007214</v>
      </c>
      <c r="M142" s="4">
        <v>0.37</v>
      </c>
      <c r="N142" s="4">
        <v>0.05</v>
      </c>
      <c r="O142" s="29">
        <f t="shared" si="2"/>
        <v>109300360.7</v>
      </c>
      <c r="P142" s="29">
        <f t="shared" si="3"/>
        <v>173492636.1</v>
      </c>
      <c r="Q142" s="29">
        <f t="shared" si="4"/>
        <v>64192275.34</v>
      </c>
      <c r="R142" s="4">
        <v>0.075</v>
      </c>
      <c r="S142" s="29">
        <f t="shared" si="5"/>
        <v>125695414.8</v>
      </c>
      <c r="T142" s="29">
        <f t="shared" si="6"/>
        <v>199516531.5</v>
      </c>
      <c r="U142" s="29">
        <f t="shared" si="7"/>
        <v>73821116.64</v>
      </c>
    </row>
    <row r="143" ht="14.25" customHeight="1">
      <c r="A143" s="4">
        <v>141.0</v>
      </c>
      <c r="B143" s="2" t="s">
        <v>481</v>
      </c>
      <c r="C143" s="2" t="s">
        <v>463</v>
      </c>
      <c r="D143" s="3">
        <v>2.2E9</v>
      </c>
      <c r="E143" s="2" t="s">
        <v>100</v>
      </c>
      <c r="F143" s="4" t="str">
        <f>VLOOKUP(B143,Raw_Data_Collection!$B$2:$F$215,5,FALSE)</f>
        <v>N</v>
      </c>
      <c r="G143" s="3">
        <f>VLOOKUP(B143,Raw_Data_Collection!$B$2:$J$215,6,FALSE)</f>
        <v>3526000</v>
      </c>
      <c r="J143" s="2" t="str">
        <f>VLOOKUP(B143,Raw_Data_Collection!$B$2:$J$215,9,FALSE)</f>
        <v/>
      </c>
      <c r="K143" s="18">
        <f>VLOOKUP(B143,Real_Estate_Stats_Preferred!$A$2:$G$215,7,FALSE)</f>
        <v>13992785.71</v>
      </c>
      <c r="L143" s="18">
        <f t="shared" si="1"/>
        <v>2186007214</v>
      </c>
      <c r="M143" s="4">
        <v>0.37</v>
      </c>
      <c r="N143" s="4">
        <v>0.05</v>
      </c>
      <c r="O143" s="29">
        <f t="shared" si="2"/>
        <v>109300360.7</v>
      </c>
      <c r="P143" s="29">
        <f t="shared" si="3"/>
        <v>173492636.1</v>
      </c>
      <c r="Q143" s="29">
        <f t="shared" si="4"/>
        <v>64192275.34</v>
      </c>
      <c r="R143" s="4">
        <v>0.075</v>
      </c>
      <c r="S143" s="29">
        <f t="shared" si="5"/>
        <v>125695414.8</v>
      </c>
      <c r="T143" s="29">
        <f t="shared" si="6"/>
        <v>199516531.5</v>
      </c>
      <c r="U143" s="29">
        <f t="shared" si="7"/>
        <v>73821116.64</v>
      </c>
    </row>
    <row r="144" ht="14.25" customHeight="1">
      <c r="A144" s="4">
        <v>142.0</v>
      </c>
      <c r="B144" s="2" t="s">
        <v>484</v>
      </c>
      <c r="C144" s="2" t="s">
        <v>485</v>
      </c>
      <c r="D144" s="3">
        <v>2.1E9</v>
      </c>
      <c r="E144" s="2" t="s">
        <v>47</v>
      </c>
      <c r="F144" s="4" t="str">
        <f>VLOOKUP(B144,Raw_Data_Collection!$B$2:$F$215,5,FALSE)</f>
        <v>N</v>
      </c>
      <c r="G144" s="3">
        <f>VLOOKUP(B144,Raw_Data_Collection!$B$2:$J$215,6,FALSE)</f>
        <v>12482485</v>
      </c>
      <c r="J144" s="2" t="str">
        <f>VLOOKUP(B144,Raw_Data_Collection!$B$2:$J$215,9,FALSE)</f>
        <v/>
      </c>
      <c r="K144" s="18">
        <f>VLOOKUP(B144,Real_Estate_Stats_Preferred!$A$2:$G$215,7,FALSE)</f>
        <v>13356750</v>
      </c>
      <c r="L144" s="18">
        <f t="shared" si="1"/>
        <v>2086643250</v>
      </c>
      <c r="M144" s="4">
        <v>0.37</v>
      </c>
      <c r="N144" s="4">
        <v>0.05</v>
      </c>
      <c r="O144" s="29">
        <f t="shared" si="2"/>
        <v>104332162.5</v>
      </c>
      <c r="P144" s="29">
        <f t="shared" si="3"/>
        <v>165606607.1</v>
      </c>
      <c r="Q144" s="29">
        <f t="shared" si="4"/>
        <v>61274444.64</v>
      </c>
      <c r="R144" s="4">
        <v>0.075</v>
      </c>
      <c r="S144" s="29">
        <f t="shared" si="5"/>
        <v>119981986.9</v>
      </c>
      <c r="T144" s="29">
        <f t="shared" si="6"/>
        <v>190447598.2</v>
      </c>
      <c r="U144" s="29">
        <f t="shared" si="7"/>
        <v>70465611.34</v>
      </c>
    </row>
    <row r="145" ht="14.25" customHeight="1">
      <c r="A145" s="4">
        <v>143.0</v>
      </c>
      <c r="B145" s="2" t="s">
        <v>488</v>
      </c>
      <c r="C145" s="2" t="s">
        <v>485</v>
      </c>
      <c r="D145" s="3">
        <v>2.1E9</v>
      </c>
      <c r="E145" s="2" t="s">
        <v>100</v>
      </c>
      <c r="F145" s="4" t="str">
        <f>VLOOKUP(B145,Raw_Data_Collection!$B$2:$F$215,5,FALSE)</f>
        <v>N</v>
      </c>
      <c r="G145" s="3">
        <f>VLOOKUP(B145,Raw_Data_Collection!$B$2:$J$215,6,FALSE)</f>
        <v>5512000</v>
      </c>
      <c r="H145" s="5" t="s">
        <v>489</v>
      </c>
      <c r="I145" s="4">
        <v>2026.0</v>
      </c>
      <c r="J145" s="2" t="str">
        <f>VLOOKUP(B145,Raw_Data_Collection!$B$2:$J$215,9,FALSE)</f>
        <v/>
      </c>
      <c r="K145" s="18">
        <f>VLOOKUP(B145,Real_Estate_Stats_Preferred!$A$2:$G$215,7,FALSE)</f>
        <v>5512000</v>
      </c>
      <c r="L145" s="18">
        <f t="shared" si="1"/>
        <v>2094488000</v>
      </c>
      <c r="M145" s="4">
        <v>0.37</v>
      </c>
      <c r="N145" s="4">
        <v>0.05</v>
      </c>
      <c r="O145" s="29">
        <f t="shared" si="2"/>
        <v>104724400</v>
      </c>
      <c r="P145" s="29">
        <f t="shared" si="3"/>
        <v>166229206.3</v>
      </c>
      <c r="Q145" s="29">
        <f t="shared" si="4"/>
        <v>61504806.35</v>
      </c>
      <c r="R145" s="4">
        <v>0.075</v>
      </c>
      <c r="S145" s="29">
        <f t="shared" si="5"/>
        <v>120433060</v>
      </c>
      <c r="T145" s="29">
        <f t="shared" si="6"/>
        <v>191163587.3</v>
      </c>
      <c r="U145" s="29">
        <f t="shared" si="7"/>
        <v>70730527.3</v>
      </c>
      <c r="V145" s="4"/>
      <c r="W145" s="4"/>
      <c r="X145" s="14" t="s">
        <v>842</v>
      </c>
    </row>
    <row r="146" ht="14.25" customHeight="1">
      <c r="A146" s="4">
        <v>144.0</v>
      </c>
      <c r="B146" s="2" t="s">
        <v>491</v>
      </c>
      <c r="C146" s="2" t="s">
        <v>485</v>
      </c>
      <c r="D146" s="3">
        <v>2.1E9</v>
      </c>
      <c r="E146" s="2" t="s">
        <v>47</v>
      </c>
      <c r="F146" s="4" t="str">
        <f>VLOOKUP(B146,Raw_Data_Collection!$B$2:$F$215,5,FALSE)</f>
        <v>N</v>
      </c>
      <c r="G146" s="3">
        <f>VLOOKUP(B146,Raw_Data_Collection!$B$2:$J$215,6,FALSE)</f>
        <v>141000000</v>
      </c>
      <c r="H146" s="5" t="s">
        <v>492</v>
      </c>
      <c r="I146" s="4">
        <v>2022.0</v>
      </c>
      <c r="J146" s="2" t="str">
        <f>VLOOKUP(B146,Raw_Data_Collection!$B$2:$J$215,9,FALSE)</f>
        <v/>
      </c>
      <c r="K146" s="18">
        <f>VLOOKUP(B146,Real_Estate_Stats_Preferred!$A$2:$G$215,7,FALSE)</f>
        <v>141000000</v>
      </c>
      <c r="L146" s="18">
        <f t="shared" si="1"/>
        <v>1959000000</v>
      </c>
      <c r="M146" s="4">
        <v>0.37</v>
      </c>
      <c r="N146" s="4">
        <v>0.05</v>
      </c>
      <c r="O146" s="29">
        <f t="shared" si="2"/>
        <v>97950000</v>
      </c>
      <c r="P146" s="29">
        <f t="shared" si="3"/>
        <v>155476190.5</v>
      </c>
      <c r="Q146" s="29">
        <f t="shared" si="4"/>
        <v>57526190.48</v>
      </c>
      <c r="R146" s="4">
        <v>0.075</v>
      </c>
      <c r="S146" s="29">
        <f t="shared" si="5"/>
        <v>112642500</v>
      </c>
      <c r="T146" s="29">
        <f t="shared" si="6"/>
        <v>178797619</v>
      </c>
      <c r="U146" s="29">
        <f t="shared" si="7"/>
        <v>66155119.05</v>
      </c>
      <c r="V146" s="4"/>
      <c r="W146" s="4"/>
    </row>
    <row r="147" ht="14.25" customHeight="1">
      <c r="A147" s="4">
        <v>145.0</v>
      </c>
      <c r="B147" s="2" t="s">
        <v>493</v>
      </c>
      <c r="C147" s="2" t="s">
        <v>485</v>
      </c>
      <c r="D147" s="3">
        <v>2.1E9</v>
      </c>
      <c r="E147" s="2" t="s">
        <v>80</v>
      </c>
      <c r="F147" s="4" t="str">
        <f>VLOOKUP(B147,Raw_Data_Collection!$B$2:$F$215,5,FALSE)</f>
        <v>N</v>
      </c>
      <c r="G147" s="3">
        <f>VLOOKUP(B147,Raw_Data_Collection!$B$2:$J$215,6,FALSE)</f>
        <v>17000000</v>
      </c>
      <c r="H147" s="5" t="s">
        <v>494</v>
      </c>
      <c r="I147" s="4">
        <v>2026.0</v>
      </c>
      <c r="J147" s="2" t="str">
        <f>VLOOKUP(B147,Raw_Data_Collection!$B$2:$J$215,9,FALSE)</f>
        <v/>
      </c>
      <c r="K147" s="18">
        <f>VLOOKUP(B147,Real_Estate_Stats_Preferred!$A$2:$G$215,7,FALSE)</f>
        <v>17000000</v>
      </c>
      <c r="L147" s="18">
        <f t="shared" si="1"/>
        <v>2083000000</v>
      </c>
      <c r="M147" s="4">
        <v>0.37</v>
      </c>
      <c r="N147" s="4">
        <v>0.05</v>
      </c>
      <c r="O147" s="29">
        <f t="shared" si="2"/>
        <v>104150000</v>
      </c>
      <c r="P147" s="29">
        <f t="shared" si="3"/>
        <v>165317460.3</v>
      </c>
      <c r="Q147" s="29">
        <f t="shared" si="4"/>
        <v>61167460.32</v>
      </c>
      <c r="R147" s="4">
        <v>0.075</v>
      </c>
      <c r="S147" s="29">
        <f t="shared" si="5"/>
        <v>119772500</v>
      </c>
      <c r="T147" s="29">
        <f t="shared" si="6"/>
        <v>190115079.4</v>
      </c>
      <c r="U147" s="29">
        <f t="shared" si="7"/>
        <v>70342579.37</v>
      </c>
      <c r="V147" s="4"/>
      <c r="W147" s="4"/>
    </row>
    <row r="148" ht="14.25" customHeight="1">
      <c r="A148" s="4">
        <v>146.0</v>
      </c>
      <c r="B148" s="2" t="s">
        <v>496</v>
      </c>
      <c r="C148" s="2" t="s">
        <v>497</v>
      </c>
      <c r="D148" s="3">
        <v>2.0E9</v>
      </c>
      <c r="E148" s="2" t="s">
        <v>47</v>
      </c>
      <c r="F148" s="4" t="str">
        <f>VLOOKUP(B148,Raw_Data_Collection!$B$2:$F$215,5,FALSE)</f>
        <v>N</v>
      </c>
      <c r="G148" s="3">
        <f>VLOOKUP(B148,Raw_Data_Collection!$B$2:$J$215,6,FALSE)</f>
        <v>34000000</v>
      </c>
      <c r="H148" s="5" t="s">
        <v>498</v>
      </c>
      <c r="I148" s="4">
        <v>2023.0</v>
      </c>
      <c r="J148" s="2" t="str">
        <f>VLOOKUP(B148,Raw_Data_Collection!$B$2:$J$215,9,FALSE)</f>
        <v/>
      </c>
      <c r="K148" s="18">
        <f>VLOOKUP(B148,Real_Estate_Stats_Preferred!$A$2:$G$215,7,FALSE)</f>
        <v>34000000</v>
      </c>
      <c r="L148" s="18">
        <f t="shared" si="1"/>
        <v>1966000000</v>
      </c>
      <c r="M148" s="4">
        <v>0.37</v>
      </c>
      <c r="N148" s="4">
        <v>0.05</v>
      </c>
      <c r="O148" s="29">
        <f t="shared" si="2"/>
        <v>98300000</v>
      </c>
      <c r="P148" s="29">
        <f t="shared" si="3"/>
        <v>156031746</v>
      </c>
      <c r="Q148" s="29">
        <f t="shared" si="4"/>
        <v>57731746.03</v>
      </c>
      <c r="R148" s="4">
        <v>0.075</v>
      </c>
      <c r="S148" s="29">
        <f t="shared" si="5"/>
        <v>113045000</v>
      </c>
      <c r="T148" s="29">
        <f t="shared" si="6"/>
        <v>179436507.9</v>
      </c>
      <c r="U148" s="29">
        <f t="shared" si="7"/>
        <v>66391507.94</v>
      </c>
      <c r="V148" s="4"/>
      <c r="W148" s="4"/>
    </row>
    <row r="149" ht="14.25" customHeight="1">
      <c r="A149" s="4">
        <v>147.0</v>
      </c>
      <c r="B149" s="2" t="s">
        <v>499</v>
      </c>
      <c r="C149" s="2" t="s">
        <v>497</v>
      </c>
      <c r="D149" s="3">
        <v>2.0E9</v>
      </c>
      <c r="E149" s="2" t="s">
        <v>113</v>
      </c>
      <c r="F149" s="4" t="str">
        <f>VLOOKUP(B149,Raw_Data_Collection!$B$2:$F$215,5,FALSE)</f>
        <v>N</v>
      </c>
      <c r="G149" s="3">
        <f>VLOOKUP(B149,Raw_Data_Collection!$B$2:$J$215,6,FALSE)</f>
        <v>7322885</v>
      </c>
      <c r="H149" s="5" t="s">
        <v>500</v>
      </c>
      <c r="I149" s="4">
        <v>2026.0</v>
      </c>
      <c r="J149" s="2" t="str">
        <f>VLOOKUP(B149,Raw_Data_Collection!$B$2:$J$215,9,FALSE)</f>
        <v/>
      </c>
      <c r="K149" s="18">
        <f>VLOOKUP(B149,Real_Estate_Stats_Preferred!$A$2:$G$215,7,FALSE)</f>
        <v>7322885</v>
      </c>
      <c r="L149" s="18">
        <f t="shared" si="1"/>
        <v>1992677115</v>
      </c>
      <c r="M149" s="4">
        <v>0.37</v>
      </c>
      <c r="N149" s="4">
        <v>0.05</v>
      </c>
      <c r="O149" s="29">
        <f t="shared" si="2"/>
        <v>99633855.75</v>
      </c>
      <c r="P149" s="29">
        <f t="shared" si="3"/>
        <v>158148977.4</v>
      </c>
      <c r="Q149" s="29">
        <f t="shared" si="4"/>
        <v>58515121.63</v>
      </c>
      <c r="R149" s="4">
        <v>0.075</v>
      </c>
      <c r="S149" s="29">
        <f t="shared" si="5"/>
        <v>114578934.1</v>
      </c>
      <c r="T149" s="29">
        <f t="shared" si="6"/>
        <v>181871324</v>
      </c>
      <c r="U149" s="29">
        <f t="shared" si="7"/>
        <v>67292389.88</v>
      </c>
      <c r="V149" s="4"/>
      <c r="W149" s="4"/>
      <c r="X149" s="14" t="s">
        <v>843</v>
      </c>
    </row>
    <row r="150" ht="14.25" customHeight="1">
      <c r="A150" s="4">
        <v>148.0</v>
      </c>
      <c r="B150" s="2" t="s">
        <v>502</v>
      </c>
      <c r="C150" s="2" t="s">
        <v>497</v>
      </c>
      <c r="D150" s="3">
        <v>2.0E9</v>
      </c>
      <c r="E150" s="2" t="s">
        <v>47</v>
      </c>
      <c r="F150" s="4" t="str">
        <f>VLOOKUP(B150,Raw_Data_Collection!$B$2:$F$215,5,FALSE)</f>
        <v>N</v>
      </c>
      <c r="G150" s="3">
        <f>VLOOKUP(B150,Raw_Data_Collection!$B$2:$J$215,6,FALSE)</f>
        <v>15315861</v>
      </c>
      <c r="J150" s="18">
        <f>VLOOKUP(B150,Raw_Data_Collection!$B$2:$J$215,9,FALSE)</f>
        <v>15315861</v>
      </c>
      <c r="K150" s="18">
        <f>VLOOKUP(B150,Real_Estate_Stats_Preferred!$A$2:$G$215,7,FALSE)</f>
        <v>12720714.29</v>
      </c>
      <c r="L150" s="18">
        <f t="shared" si="1"/>
        <v>1987279286</v>
      </c>
      <c r="M150" s="4">
        <v>0.37</v>
      </c>
      <c r="N150" s="4">
        <v>0.05</v>
      </c>
      <c r="O150" s="29">
        <f t="shared" si="2"/>
        <v>99363964.29</v>
      </c>
      <c r="P150" s="29">
        <f t="shared" si="3"/>
        <v>157720578.2</v>
      </c>
      <c r="Q150" s="29">
        <f t="shared" si="4"/>
        <v>58356613.95</v>
      </c>
      <c r="R150" s="4">
        <v>0.075</v>
      </c>
      <c r="S150" s="29">
        <f t="shared" si="5"/>
        <v>114268558.9</v>
      </c>
      <c r="T150" s="29">
        <f t="shared" si="6"/>
        <v>181378665</v>
      </c>
      <c r="U150" s="29">
        <f t="shared" si="7"/>
        <v>67110106.04</v>
      </c>
    </row>
    <row r="151" ht="14.25" customHeight="1">
      <c r="A151" s="4">
        <v>149.0</v>
      </c>
      <c r="B151" s="2" t="s">
        <v>505</v>
      </c>
      <c r="C151" s="2" t="s">
        <v>497</v>
      </c>
      <c r="D151" s="3">
        <v>2.0E9</v>
      </c>
      <c r="E151" s="2" t="s">
        <v>100</v>
      </c>
      <c r="F151" s="4" t="str">
        <f>VLOOKUP(B151,Raw_Data_Collection!$B$2:$F$215,5,FALSE)</f>
        <v>N</v>
      </c>
      <c r="G151" s="3">
        <f>VLOOKUP(B151,Raw_Data_Collection!$B$2:$J$215,6,FALSE)</f>
        <v>4000000</v>
      </c>
      <c r="J151" s="2" t="str">
        <f>VLOOKUP(B151,Raw_Data_Collection!$B$2:$J$215,9,FALSE)</f>
        <v/>
      </c>
      <c r="K151" s="18">
        <f>VLOOKUP(B151,Real_Estate_Stats_Preferred!$A$2:$G$215,7,FALSE)</f>
        <v>12720714.29</v>
      </c>
      <c r="L151" s="18">
        <f t="shared" si="1"/>
        <v>1987279286</v>
      </c>
      <c r="M151" s="4">
        <v>0.37</v>
      </c>
      <c r="N151" s="4">
        <v>0.05</v>
      </c>
      <c r="O151" s="29">
        <f t="shared" si="2"/>
        <v>99363964.29</v>
      </c>
      <c r="P151" s="29">
        <f t="shared" si="3"/>
        <v>157720578.2</v>
      </c>
      <c r="Q151" s="29">
        <f t="shared" si="4"/>
        <v>58356613.95</v>
      </c>
      <c r="R151" s="4">
        <v>0.075</v>
      </c>
      <c r="S151" s="29">
        <f t="shared" si="5"/>
        <v>114268558.9</v>
      </c>
      <c r="T151" s="29">
        <f t="shared" si="6"/>
        <v>181378665</v>
      </c>
      <c r="U151" s="29">
        <f t="shared" si="7"/>
        <v>67110106.04</v>
      </c>
    </row>
    <row r="152" ht="14.25" customHeight="1">
      <c r="A152" s="4">
        <v>150.0</v>
      </c>
      <c r="B152" s="2" t="s">
        <v>508</v>
      </c>
      <c r="C152" s="2" t="s">
        <v>497</v>
      </c>
      <c r="D152" s="3">
        <v>2.0E9</v>
      </c>
      <c r="E152" s="2" t="s">
        <v>509</v>
      </c>
      <c r="F152" s="4" t="str">
        <f>VLOOKUP(B152,Raw_Data_Collection!$B$2:$F$215,5,FALSE)</f>
        <v>N</v>
      </c>
      <c r="G152" s="3">
        <f>VLOOKUP(B152,Raw_Data_Collection!$B$2:$J$215,6,FALSE)</f>
        <v>30000000</v>
      </c>
      <c r="J152" s="18">
        <f>VLOOKUP(B152,Raw_Data_Collection!$B$2:$J$215,9,FALSE)</f>
        <v>47500000</v>
      </c>
      <c r="K152" s="18">
        <f>VLOOKUP(B152,Real_Estate_Stats_Preferred!$A$2:$G$215,7,FALSE)</f>
        <v>12720714.29</v>
      </c>
      <c r="L152" s="18">
        <f t="shared" si="1"/>
        <v>1987279286</v>
      </c>
      <c r="M152" s="4">
        <v>0.37</v>
      </c>
      <c r="N152" s="4">
        <v>0.05</v>
      </c>
      <c r="O152" s="29">
        <f t="shared" si="2"/>
        <v>99363964.29</v>
      </c>
      <c r="P152" s="29">
        <f t="shared" si="3"/>
        <v>157720578.2</v>
      </c>
      <c r="Q152" s="29">
        <f t="shared" si="4"/>
        <v>58356613.95</v>
      </c>
      <c r="R152" s="4">
        <v>0.075</v>
      </c>
      <c r="S152" s="29">
        <f t="shared" si="5"/>
        <v>114268558.9</v>
      </c>
      <c r="T152" s="29">
        <f t="shared" si="6"/>
        <v>181378665</v>
      </c>
      <c r="U152" s="29">
        <f t="shared" si="7"/>
        <v>67110106.04</v>
      </c>
    </row>
    <row r="153" ht="14.25" customHeight="1">
      <c r="A153" s="4">
        <v>151.0</v>
      </c>
      <c r="B153" s="2" t="s">
        <v>513</v>
      </c>
      <c r="C153" s="2" t="s">
        <v>497</v>
      </c>
      <c r="D153" s="3">
        <v>2.0E9</v>
      </c>
      <c r="E153" s="2" t="s">
        <v>100</v>
      </c>
      <c r="F153" s="4" t="str">
        <f>VLOOKUP(B153,Raw_Data_Collection!$B$2:$F$215,5,FALSE)</f>
        <v>N</v>
      </c>
      <c r="G153" s="3" t="str">
        <f>VLOOKUP(B153,Raw_Data_Collection!$B$2:$J$215,6,FALSE)</f>
        <v/>
      </c>
      <c r="J153" s="2" t="str">
        <f>VLOOKUP(B153,Raw_Data_Collection!$B$2:$J$215,9,FALSE)</f>
        <v/>
      </c>
      <c r="K153" s="18">
        <f>VLOOKUP(B153,Real_Estate_Stats_Preferred!$A$2:$G$215,7,FALSE)</f>
        <v>12720714.29</v>
      </c>
      <c r="L153" s="18">
        <f t="shared" si="1"/>
        <v>1987279286</v>
      </c>
      <c r="M153" s="4">
        <v>0.37</v>
      </c>
      <c r="N153" s="4">
        <v>0.05</v>
      </c>
      <c r="O153" s="29">
        <f t="shared" si="2"/>
        <v>99363964.29</v>
      </c>
      <c r="P153" s="29">
        <f t="shared" si="3"/>
        <v>157720578.2</v>
      </c>
      <c r="Q153" s="29">
        <f t="shared" si="4"/>
        <v>58356613.95</v>
      </c>
      <c r="R153" s="4">
        <v>0.075</v>
      </c>
      <c r="S153" s="29">
        <f t="shared" si="5"/>
        <v>114268558.9</v>
      </c>
      <c r="T153" s="29">
        <f t="shared" si="6"/>
        <v>181378665</v>
      </c>
      <c r="U153" s="29">
        <f t="shared" si="7"/>
        <v>67110106.04</v>
      </c>
    </row>
    <row r="154" ht="14.25" customHeight="1">
      <c r="A154" s="4">
        <v>152.0</v>
      </c>
      <c r="B154" s="2" t="s">
        <v>514</v>
      </c>
      <c r="C154" s="2" t="s">
        <v>515</v>
      </c>
      <c r="D154" s="3">
        <v>1.9E9</v>
      </c>
      <c r="E154" s="2" t="s">
        <v>100</v>
      </c>
      <c r="F154" s="4" t="str">
        <f>VLOOKUP(B154,Raw_Data_Collection!$B$2:$F$215,5,FALSE)</f>
        <v>N</v>
      </c>
      <c r="G154" s="3">
        <f>VLOOKUP(B154,Raw_Data_Collection!$B$2:$J$215,6,FALSE)</f>
        <v>27000000</v>
      </c>
      <c r="H154" s="5" t="s">
        <v>516</v>
      </c>
      <c r="I154" s="4">
        <v>2024.0</v>
      </c>
      <c r="J154" s="2" t="str">
        <f>VLOOKUP(B154,Raw_Data_Collection!$B$2:$J$215,9,FALSE)</f>
        <v/>
      </c>
      <c r="K154" s="18">
        <f>VLOOKUP(B154,Real_Estate_Stats_Preferred!$A$2:$G$215,7,FALSE)</f>
        <v>27000000</v>
      </c>
      <c r="L154" s="18">
        <f t="shared" si="1"/>
        <v>1873000000</v>
      </c>
      <c r="M154" s="4">
        <v>0.37</v>
      </c>
      <c r="N154" s="4">
        <v>0.05</v>
      </c>
      <c r="O154" s="29">
        <f t="shared" si="2"/>
        <v>93650000</v>
      </c>
      <c r="P154" s="29">
        <f t="shared" si="3"/>
        <v>148650793.7</v>
      </c>
      <c r="Q154" s="29">
        <f t="shared" si="4"/>
        <v>55000793.65</v>
      </c>
      <c r="R154" s="4">
        <v>0.075</v>
      </c>
      <c r="S154" s="29">
        <f t="shared" si="5"/>
        <v>107697500</v>
      </c>
      <c r="T154" s="29">
        <f t="shared" si="6"/>
        <v>170948412.7</v>
      </c>
      <c r="U154" s="29">
        <f t="shared" si="7"/>
        <v>63250912.7</v>
      </c>
      <c r="V154" s="4"/>
      <c r="W154" s="4"/>
    </row>
    <row r="155" ht="14.25" customHeight="1">
      <c r="A155" s="4">
        <v>153.0</v>
      </c>
      <c r="B155" s="2" t="s">
        <v>517</v>
      </c>
      <c r="C155" s="2" t="s">
        <v>515</v>
      </c>
      <c r="D155" s="3">
        <v>1.9E9</v>
      </c>
      <c r="E155" s="2" t="s">
        <v>80</v>
      </c>
      <c r="F155" s="4" t="str">
        <f>VLOOKUP(B155,Raw_Data_Collection!$B$2:$F$215,5,FALSE)</f>
        <v>N</v>
      </c>
      <c r="G155" s="3">
        <f>VLOOKUP(B155,Raw_Data_Collection!$B$2:$J$215,6,FALSE)</f>
        <v>14281449</v>
      </c>
      <c r="J155" s="2" t="str">
        <f>VLOOKUP(B155,Raw_Data_Collection!$B$2:$J$215,9,FALSE)</f>
        <v/>
      </c>
      <c r="K155" s="18">
        <f>VLOOKUP(B155,Real_Estate_Stats_Preferred!$A$2:$G$215,7,FALSE)</f>
        <v>12084678.57</v>
      </c>
      <c r="L155" s="18">
        <f t="shared" si="1"/>
        <v>1887915321</v>
      </c>
      <c r="M155" s="4">
        <v>0.37</v>
      </c>
      <c r="N155" s="4">
        <v>0.05</v>
      </c>
      <c r="O155" s="29">
        <f t="shared" si="2"/>
        <v>94395766.07</v>
      </c>
      <c r="P155" s="29">
        <f t="shared" si="3"/>
        <v>149834549.3</v>
      </c>
      <c r="Q155" s="29">
        <f t="shared" si="4"/>
        <v>55438783.25</v>
      </c>
      <c r="R155" s="4">
        <v>0.075</v>
      </c>
      <c r="S155" s="29">
        <f t="shared" si="5"/>
        <v>108555131</v>
      </c>
      <c r="T155" s="29">
        <f t="shared" si="6"/>
        <v>172309731.7</v>
      </c>
      <c r="U155" s="29">
        <f t="shared" si="7"/>
        <v>63754600.74</v>
      </c>
    </row>
    <row r="156" ht="14.25" customHeight="1">
      <c r="A156" s="4">
        <v>154.0</v>
      </c>
      <c r="B156" s="2" t="s">
        <v>520</v>
      </c>
      <c r="C156" s="2" t="s">
        <v>515</v>
      </c>
      <c r="D156" s="3">
        <v>1.9E9</v>
      </c>
      <c r="E156" s="2" t="s">
        <v>100</v>
      </c>
      <c r="F156" s="4" t="str">
        <f>VLOOKUP(B156,Raw_Data_Collection!$B$2:$F$215,5,FALSE)</f>
        <v>N</v>
      </c>
      <c r="G156" s="3" t="str">
        <f>VLOOKUP(B156,Raw_Data_Collection!$B$2:$J$215,6,FALSE)</f>
        <v/>
      </c>
      <c r="J156" s="2" t="str">
        <f>VLOOKUP(B156,Raw_Data_Collection!$B$2:$J$215,9,FALSE)</f>
        <v/>
      </c>
      <c r="K156" s="18">
        <f>VLOOKUP(B156,Real_Estate_Stats_Preferred!$A$2:$G$215,7,FALSE)</f>
        <v>12084678.57</v>
      </c>
      <c r="L156" s="18">
        <f t="shared" si="1"/>
        <v>1887915321</v>
      </c>
      <c r="M156" s="4">
        <v>0.37</v>
      </c>
      <c r="N156" s="4">
        <v>0.05</v>
      </c>
      <c r="O156" s="29">
        <f t="shared" si="2"/>
        <v>94395766.07</v>
      </c>
      <c r="P156" s="29">
        <f t="shared" si="3"/>
        <v>149834549.3</v>
      </c>
      <c r="Q156" s="29">
        <f t="shared" si="4"/>
        <v>55438783.25</v>
      </c>
      <c r="R156" s="4">
        <v>0.075</v>
      </c>
      <c r="S156" s="29">
        <f t="shared" si="5"/>
        <v>108555131</v>
      </c>
      <c r="T156" s="29">
        <f t="shared" si="6"/>
        <v>172309731.7</v>
      </c>
      <c r="U156" s="29">
        <f t="shared" si="7"/>
        <v>63754600.74</v>
      </c>
    </row>
    <row r="157" ht="14.25" customHeight="1">
      <c r="A157" s="4">
        <v>155.0</v>
      </c>
      <c r="B157" s="2" t="s">
        <v>521</v>
      </c>
      <c r="C157" s="2" t="s">
        <v>515</v>
      </c>
      <c r="D157" s="3">
        <v>1.9E9</v>
      </c>
      <c r="E157" s="2" t="s">
        <v>166</v>
      </c>
      <c r="F157" s="4" t="str">
        <f>VLOOKUP(B157,Raw_Data_Collection!$B$2:$F$215,5,FALSE)</f>
        <v>N</v>
      </c>
      <c r="G157" s="3">
        <f>VLOOKUP(B157,Raw_Data_Collection!$B$2:$J$215,6,FALSE)</f>
        <v>110000000</v>
      </c>
      <c r="H157" s="5" t="s">
        <v>522</v>
      </c>
      <c r="I157" s="4">
        <v>2025.0</v>
      </c>
      <c r="J157" s="2" t="str">
        <f>VLOOKUP(B157,Raw_Data_Collection!$B$2:$J$215,9,FALSE)</f>
        <v/>
      </c>
      <c r="K157" s="18">
        <f>VLOOKUP(B157,Real_Estate_Stats_Preferred!$A$2:$G$215,7,FALSE)</f>
        <v>110000000</v>
      </c>
      <c r="L157" s="18">
        <f t="shared" si="1"/>
        <v>1790000000</v>
      </c>
      <c r="M157" s="4">
        <v>0.37</v>
      </c>
      <c r="N157" s="4">
        <v>0.05</v>
      </c>
      <c r="O157" s="29">
        <f t="shared" si="2"/>
        <v>89500000</v>
      </c>
      <c r="P157" s="29">
        <f t="shared" si="3"/>
        <v>142063492.1</v>
      </c>
      <c r="Q157" s="29">
        <f t="shared" si="4"/>
        <v>52563492.06</v>
      </c>
      <c r="R157" s="4">
        <v>0.075</v>
      </c>
      <c r="S157" s="29">
        <f t="shared" si="5"/>
        <v>102925000</v>
      </c>
      <c r="T157" s="29">
        <f t="shared" si="6"/>
        <v>163373015.9</v>
      </c>
      <c r="U157" s="29">
        <f t="shared" si="7"/>
        <v>60448015.87</v>
      </c>
      <c r="V157" s="4"/>
      <c r="W157" s="4"/>
      <c r="X157" s="4" t="s">
        <v>523</v>
      </c>
    </row>
    <row r="158" ht="14.25" customHeight="1">
      <c r="A158" s="4">
        <v>156.0</v>
      </c>
      <c r="B158" s="2" t="s">
        <v>524</v>
      </c>
      <c r="C158" s="2" t="s">
        <v>515</v>
      </c>
      <c r="D158" s="3">
        <v>1.9E9</v>
      </c>
      <c r="E158" s="2" t="s">
        <v>354</v>
      </c>
      <c r="F158" s="4" t="str">
        <f>VLOOKUP(B158,Raw_Data_Collection!$B$2:$F$215,5,FALSE)</f>
        <v>N</v>
      </c>
      <c r="G158" s="3">
        <f>VLOOKUP(B158,Raw_Data_Collection!$B$2:$J$215,6,FALSE)</f>
        <v>177000000</v>
      </c>
      <c r="H158" s="5" t="s">
        <v>525</v>
      </c>
      <c r="I158" s="4">
        <v>2021.0</v>
      </c>
      <c r="J158" s="2" t="str">
        <f>VLOOKUP(B158,Raw_Data_Collection!$B$2:$J$215,9,FALSE)</f>
        <v/>
      </c>
      <c r="K158" s="18">
        <f>VLOOKUP(B158,Real_Estate_Stats_Preferred!$A$2:$G$215,7,FALSE)</f>
        <v>177000000</v>
      </c>
      <c r="L158" s="18">
        <f t="shared" si="1"/>
        <v>1723000000</v>
      </c>
      <c r="M158" s="4">
        <v>0.37</v>
      </c>
      <c r="N158" s="4">
        <v>0.05</v>
      </c>
      <c r="O158" s="29">
        <f t="shared" si="2"/>
        <v>86150000</v>
      </c>
      <c r="P158" s="29">
        <f t="shared" si="3"/>
        <v>136746031.7</v>
      </c>
      <c r="Q158" s="29">
        <f t="shared" si="4"/>
        <v>50596031.75</v>
      </c>
      <c r="R158" s="4">
        <v>0.075</v>
      </c>
      <c r="S158" s="29">
        <f t="shared" si="5"/>
        <v>99072500</v>
      </c>
      <c r="T158" s="29">
        <f t="shared" si="6"/>
        <v>157257936.5</v>
      </c>
      <c r="U158" s="29">
        <f t="shared" si="7"/>
        <v>58185436.51</v>
      </c>
      <c r="V158" s="4"/>
      <c r="W158" s="4"/>
    </row>
    <row r="159" ht="14.25" customHeight="1">
      <c r="A159" s="4">
        <v>157.0</v>
      </c>
      <c r="B159" s="2" t="s">
        <v>526</v>
      </c>
      <c r="C159" s="2" t="s">
        <v>527</v>
      </c>
      <c r="D159" s="3">
        <v>1.8E9</v>
      </c>
      <c r="E159" s="2" t="s">
        <v>528</v>
      </c>
      <c r="F159" s="4" t="str">
        <f>VLOOKUP(B159,Raw_Data_Collection!$B$2:$F$215,5,FALSE)</f>
        <v>N</v>
      </c>
      <c r="G159" s="3">
        <f>VLOOKUP(B159,Raw_Data_Collection!$B$2:$J$215,6,FALSE)</f>
        <v>60000000</v>
      </c>
      <c r="H159" s="5" t="s">
        <v>529</v>
      </c>
      <c r="I159" s="4">
        <v>2025.0</v>
      </c>
      <c r="J159" s="18">
        <f>VLOOKUP(B159,Raw_Data_Collection!$B$2:$J$215,9,FALSE)</f>
        <v>115000000</v>
      </c>
      <c r="K159" s="18">
        <f>VLOOKUP(B159,Real_Estate_Stats_Preferred!$A$2:$G$215,7,FALSE)</f>
        <v>60000000</v>
      </c>
      <c r="L159" s="18">
        <f t="shared" si="1"/>
        <v>1740000000</v>
      </c>
      <c r="M159" s="4">
        <v>0.37</v>
      </c>
      <c r="N159" s="4">
        <v>0.05</v>
      </c>
      <c r="O159" s="29">
        <f t="shared" si="2"/>
        <v>87000000</v>
      </c>
      <c r="P159" s="29">
        <f t="shared" si="3"/>
        <v>138095238.1</v>
      </c>
      <c r="Q159" s="29">
        <f t="shared" si="4"/>
        <v>51095238.1</v>
      </c>
      <c r="R159" s="4">
        <v>0.075</v>
      </c>
      <c r="S159" s="29">
        <f t="shared" si="5"/>
        <v>100050000</v>
      </c>
      <c r="T159" s="29">
        <f t="shared" si="6"/>
        <v>158809523.8</v>
      </c>
      <c r="U159" s="29">
        <f t="shared" si="7"/>
        <v>58759523.81</v>
      </c>
      <c r="V159" s="4"/>
      <c r="W159" s="4"/>
      <c r="X159" s="4" t="s">
        <v>728</v>
      </c>
    </row>
    <row r="160" ht="14.25" customHeight="1">
      <c r="A160" s="4">
        <v>158.0</v>
      </c>
      <c r="B160" s="2" t="s">
        <v>532</v>
      </c>
      <c r="C160" s="2" t="s">
        <v>527</v>
      </c>
      <c r="D160" s="3">
        <v>1.8E9</v>
      </c>
      <c r="E160" s="2" t="s">
        <v>47</v>
      </c>
      <c r="F160" s="4" t="str">
        <f>VLOOKUP(B160,Raw_Data_Collection!$B$2:$F$215,5,FALSE)</f>
        <v>N</v>
      </c>
      <c r="G160" s="3" t="str">
        <f>VLOOKUP(B160,Raw_Data_Collection!$B$2:$J$215,6,FALSE)</f>
        <v/>
      </c>
      <c r="H160" s="5" t="s">
        <v>533</v>
      </c>
      <c r="J160" s="18">
        <f>VLOOKUP(B160,Raw_Data_Collection!$B$2:$J$215,9,FALSE)</f>
        <v>29405106</v>
      </c>
      <c r="K160" s="18">
        <f>VLOOKUP(B160,Real_Estate_Stats_Preferred!$A$2:$G$215,7,FALSE)</f>
        <v>11448642.86</v>
      </c>
      <c r="L160" s="18">
        <f t="shared" si="1"/>
        <v>1788551357</v>
      </c>
      <c r="M160" s="4">
        <v>0.37</v>
      </c>
      <c r="N160" s="4">
        <v>0.05</v>
      </c>
      <c r="O160" s="29">
        <f t="shared" si="2"/>
        <v>89427567.86</v>
      </c>
      <c r="P160" s="29">
        <f t="shared" si="3"/>
        <v>141948520.4</v>
      </c>
      <c r="Q160" s="29">
        <f t="shared" si="4"/>
        <v>52520952.55</v>
      </c>
      <c r="R160" s="4">
        <v>0.075</v>
      </c>
      <c r="S160" s="29">
        <f t="shared" si="5"/>
        <v>102841703</v>
      </c>
      <c r="T160" s="29">
        <f t="shared" si="6"/>
        <v>163240798.5</v>
      </c>
      <c r="U160" s="29">
        <f t="shared" si="7"/>
        <v>60399095.43</v>
      </c>
    </row>
    <row r="161" ht="14.25" customHeight="1">
      <c r="A161" s="4">
        <v>159.0</v>
      </c>
      <c r="B161" s="2" t="s">
        <v>536</v>
      </c>
      <c r="C161" s="2" t="s">
        <v>537</v>
      </c>
      <c r="D161" s="3">
        <v>1.7E9</v>
      </c>
      <c r="E161" s="2" t="s">
        <v>538</v>
      </c>
      <c r="F161" s="4" t="s">
        <v>18</v>
      </c>
      <c r="G161" s="3" t="str">
        <f>VLOOKUP(B161,Raw_Data_Collection!$B$2:$J$215,6,FALSE)</f>
        <v/>
      </c>
      <c r="J161" s="2" t="str">
        <f>VLOOKUP(B161,Raw_Data_Collection!$B$2:$J$215,9,FALSE)</f>
        <v/>
      </c>
      <c r="K161" s="18">
        <f>VLOOKUP(B161,Real_Estate_Stats_Preferred!$A$2:$G$215,7,FALSE)</f>
        <v>10812607.14</v>
      </c>
      <c r="L161" s="18">
        <f t="shared" si="1"/>
        <v>1689187393</v>
      </c>
      <c r="M161" s="4">
        <v>0.37</v>
      </c>
      <c r="N161" s="4">
        <v>0.05</v>
      </c>
      <c r="O161" s="29">
        <f t="shared" si="2"/>
        <v>84459369.64</v>
      </c>
      <c r="P161" s="29">
        <f t="shared" si="3"/>
        <v>134062491.5</v>
      </c>
      <c r="Q161" s="29">
        <f t="shared" si="4"/>
        <v>49603121.85</v>
      </c>
      <c r="R161" s="4">
        <v>0.075</v>
      </c>
      <c r="S161" s="29">
        <f t="shared" si="5"/>
        <v>97128275.09</v>
      </c>
      <c r="T161" s="29">
        <f t="shared" si="6"/>
        <v>154171865.2</v>
      </c>
      <c r="U161" s="29">
        <f t="shared" si="7"/>
        <v>57043590.13</v>
      </c>
    </row>
    <row r="162" ht="14.25" customHeight="1">
      <c r="A162" s="4">
        <v>160.0</v>
      </c>
      <c r="B162" s="2" t="s">
        <v>539</v>
      </c>
      <c r="C162" s="2" t="s">
        <v>537</v>
      </c>
      <c r="D162" s="3">
        <v>1.7E9</v>
      </c>
      <c r="E162" s="2" t="s">
        <v>100</v>
      </c>
      <c r="F162" s="4" t="str">
        <f>VLOOKUP(B162,Raw_Data_Collection!$B$2:$F$215,5,FALSE)</f>
        <v>N</v>
      </c>
      <c r="G162" s="3" t="str">
        <f>VLOOKUP(B162,Raw_Data_Collection!$B$2:$J$215,6,FALSE)</f>
        <v/>
      </c>
      <c r="J162" s="2" t="str">
        <f>VLOOKUP(B162,Raw_Data_Collection!$B$2:$J$215,9,FALSE)</f>
        <v/>
      </c>
      <c r="K162" s="18">
        <f>VLOOKUP(B162,Real_Estate_Stats_Preferred!$A$2:$G$215,7,FALSE)</f>
        <v>10812607.14</v>
      </c>
      <c r="L162" s="18">
        <f t="shared" si="1"/>
        <v>1689187393</v>
      </c>
      <c r="M162" s="4">
        <v>0.37</v>
      </c>
      <c r="N162" s="4">
        <v>0.05</v>
      </c>
      <c r="O162" s="29">
        <f t="shared" si="2"/>
        <v>84459369.64</v>
      </c>
      <c r="P162" s="29">
        <f t="shared" si="3"/>
        <v>134062491.5</v>
      </c>
      <c r="Q162" s="29">
        <f t="shared" si="4"/>
        <v>49603121.85</v>
      </c>
      <c r="R162" s="4">
        <v>0.075</v>
      </c>
      <c r="S162" s="29">
        <f t="shared" si="5"/>
        <v>97128275.09</v>
      </c>
      <c r="T162" s="29">
        <f t="shared" si="6"/>
        <v>154171865.2</v>
      </c>
      <c r="U162" s="29">
        <f t="shared" si="7"/>
        <v>57043590.13</v>
      </c>
    </row>
    <row r="163" ht="14.25" customHeight="1">
      <c r="A163" s="4">
        <v>161.0</v>
      </c>
      <c r="B163" s="2" t="s">
        <v>540</v>
      </c>
      <c r="C163" s="2" t="s">
        <v>537</v>
      </c>
      <c r="D163" s="3">
        <v>1.7E9</v>
      </c>
      <c r="E163" s="2" t="s">
        <v>47</v>
      </c>
      <c r="F163" s="4" t="str">
        <f>VLOOKUP(B163,Raw_Data_Collection!$B$2:$F$215,5,FALSE)</f>
        <v>N</v>
      </c>
      <c r="G163" s="3">
        <f>VLOOKUP(B163,Raw_Data_Collection!$B$2:$J$215,6,FALSE)</f>
        <v>23900000</v>
      </c>
      <c r="H163" s="5" t="s">
        <v>541</v>
      </c>
      <c r="I163" s="4">
        <v>2026.0</v>
      </c>
      <c r="J163" s="2" t="str">
        <f>VLOOKUP(B163,Raw_Data_Collection!$B$2:$J$215,9,FALSE)</f>
        <v/>
      </c>
      <c r="K163" s="18">
        <f>VLOOKUP(B163,Real_Estate_Stats_Preferred!$A$2:$G$215,7,FALSE)</f>
        <v>23900000</v>
      </c>
      <c r="L163" s="18">
        <f t="shared" si="1"/>
        <v>1676100000</v>
      </c>
      <c r="M163" s="4">
        <v>0.37</v>
      </c>
      <c r="N163" s="4">
        <v>0.05</v>
      </c>
      <c r="O163" s="29">
        <f t="shared" si="2"/>
        <v>83805000</v>
      </c>
      <c r="P163" s="29">
        <f t="shared" si="3"/>
        <v>133023809.5</v>
      </c>
      <c r="Q163" s="29">
        <f t="shared" si="4"/>
        <v>49218809.52</v>
      </c>
      <c r="R163" s="4">
        <v>0.075</v>
      </c>
      <c r="S163" s="29">
        <f t="shared" si="5"/>
        <v>96375750</v>
      </c>
      <c r="T163" s="29">
        <f t="shared" si="6"/>
        <v>152977381</v>
      </c>
      <c r="U163" s="29">
        <f t="shared" si="7"/>
        <v>56601630.95</v>
      </c>
      <c r="V163" s="4"/>
      <c r="W163" s="4"/>
    </row>
    <row r="164" ht="14.25" customHeight="1">
      <c r="A164" s="4">
        <v>162.0</v>
      </c>
      <c r="B164" s="2" t="s">
        <v>542</v>
      </c>
      <c r="C164" s="2" t="s">
        <v>537</v>
      </c>
      <c r="D164" s="3">
        <v>1.7E9</v>
      </c>
      <c r="E164" s="2" t="s">
        <v>100</v>
      </c>
      <c r="F164" s="4" t="str">
        <f>VLOOKUP(B164,Raw_Data_Collection!$B$2:$F$215,5,FALSE)</f>
        <v>N</v>
      </c>
      <c r="G164" s="3" t="str">
        <f>VLOOKUP(B164,Raw_Data_Collection!$B$2:$J$215,6,FALSE)</f>
        <v/>
      </c>
      <c r="J164" s="2" t="str">
        <f>VLOOKUP(B164,Raw_Data_Collection!$B$2:$J$215,9,FALSE)</f>
        <v/>
      </c>
      <c r="K164" s="18">
        <f>VLOOKUP(B164,Real_Estate_Stats_Preferred!$A$2:$G$215,7,FALSE)</f>
        <v>10812607.14</v>
      </c>
      <c r="L164" s="18">
        <f t="shared" si="1"/>
        <v>1689187393</v>
      </c>
      <c r="M164" s="4">
        <v>0.37</v>
      </c>
      <c r="N164" s="4">
        <v>0.05</v>
      </c>
      <c r="O164" s="29">
        <f t="shared" si="2"/>
        <v>84459369.64</v>
      </c>
      <c r="P164" s="29">
        <f t="shared" si="3"/>
        <v>134062491.5</v>
      </c>
      <c r="Q164" s="29">
        <f t="shared" si="4"/>
        <v>49603121.85</v>
      </c>
      <c r="R164" s="4">
        <v>0.075</v>
      </c>
      <c r="S164" s="29">
        <f t="shared" si="5"/>
        <v>97128275.09</v>
      </c>
      <c r="T164" s="29">
        <f t="shared" si="6"/>
        <v>154171865.2</v>
      </c>
      <c r="U164" s="29">
        <f t="shared" si="7"/>
        <v>57043590.13</v>
      </c>
    </row>
    <row r="165" ht="14.25" customHeight="1">
      <c r="A165" s="4">
        <v>163.0</v>
      </c>
      <c r="B165" s="2" t="s">
        <v>543</v>
      </c>
      <c r="C165" s="2" t="s">
        <v>537</v>
      </c>
      <c r="D165" s="3">
        <v>1.7E9</v>
      </c>
      <c r="E165" s="2" t="s">
        <v>100</v>
      </c>
      <c r="F165" s="4" t="str">
        <f>VLOOKUP(B165,Raw_Data_Collection!$B$2:$F$215,5,FALSE)</f>
        <v>N</v>
      </c>
      <c r="G165" s="3" t="str">
        <f>VLOOKUP(B165,Raw_Data_Collection!$B$2:$J$215,6,FALSE)</f>
        <v/>
      </c>
      <c r="J165" s="2" t="str">
        <f>VLOOKUP(B165,Raw_Data_Collection!$B$2:$J$215,9,FALSE)</f>
        <v/>
      </c>
      <c r="K165" s="18">
        <f>VLOOKUP(B165,Real_Estate_Stats_Preferred!$A$2:$G$215,7,FALSE)</f>
        <v>10812607.14</v>
      </c>
      <c r="L165" s="18">
        <f t="shared" si="1"/>
        <v>1689187393</v>
      </c>
      <c r="M165" s="4">
        <v>0.37</v>
      </c>
      <c r="N165" s="4">
        <v>0.05</v>
      </c>
      <c r="O165" s="29">
        <f t="shared" si="2"/>
        <v>84459369.64</v>
      </c>
      <c r="P165" s="29">
        <f t="shared" si="3"/>
        <v>134062491.5</v>
      </c>
      <c r="Q165" s="29">
        <f t="shared" si="4"/>
        <v>49603121.85</v>
      </c>
      <c r="R165" s="4">
        <v>0.075</v>
      </c>
      <c r="S165" s="29">
        <f t="shared" si="5"/>
        <v>97128275.09</v>
      </c>
      <c r="T165" s="29">
        <f t="shared" si="6"/>
        <v>154171865.2</v>
      </c>
      <c r="U165" s="29">
        <f t="shared" si="7"/>
        <v>57043590.13</v>
      </c>
    </row>
    <row r="166" ht="14.25" customHeight="1">
      <c r="A166" s="4">
        <v>164.0</v>
      </c>
      <c r="B166" s="2" t="s">
        <v>544</v>
      </c>
      <c r="C166" s="2" t="s">
        <v>545</v>
      </c>
      <c r="D166" s="3">
        <v>1.6E9</v>
      </c>
      <c r="E166" s="2" t="s">
        <v>546</v>
      </c>
      <c r="F166" s="4" t="str">
        <f>VLOOKUP(B166,Raw_Data_Collection!$B$2:$F$215,5,FALSE)</f>
        <v>N</v>
      </c>
      <c r="G166" s="3" t="str">
        <f>VLOOKUP(B166,Raw_Data_Collection!$B$2:$J$215,6,FALSE)</f>
        <v/>
      </c>
      <c r="J166" s="2" t="str">
        <f>VLOOKUP(B166,Raw_Data_Collection!$B$2:$J$215,9,FALSE)</f>
        <v/>
      </c>
      <c r="K166" s="18">
        <f>VLOOKUP(B166,Real_Estate_Stats_Preferred!$A$2:$G$215,7,FALSE)</f>
        <v>10176571.43</v>
      </c>
      <c r="L166" s="18">
        <f t="shared" si="1"/>
        <v>1589823429</v>
      </c>
      <c r="M166" s="4">
        <v>0.37</v>
      </c>
      <c r="N166" s="4">
        <v>0.05</v>
      </c>
      <c r="O166" s="29">
        <f t="shared" si="2"/>
        <v>79491171.43</v>
      </c>
      <c r="P166" s="29">
        <f t="shared" si="3"/>
        <v>126176462.6</v>
      </c>
      <c r="Q166" s="29">
        <f t="shared" si="4"/>
        <v>46685291.16</v>
      </c>
      <c r="R166" s="4">
        <v>0.075</v>
      </c>
      <c r="S166" s="29">
        <f t="shared" si="5"/>
        <v>91414847.14</v>
      </c>
      <c r="T166" s="29">
        <f t="shared" si="6"/>
        <v>145102932</v>
      </c>
      <c r="U166" s="29">
        <f t="shared" si="7"/>
        <v>53688084.83</v>
      </c>
    </row>
    <row r="167" ht="14.25" customHeight="1">
      <c r="A167" s="4">
        <v>165.0</v>
      </c>
      <c r="B167" s="2" t="s">
        <v>547</v>
      </c>
      <c r="C167" s="2" t="s">
        <v>545</v>
      </c>
      <c r="D167" s="3">
        <v>1.6E9</v>
      </c>
      <c r="E167" s="2" t="s">
        <v>80</v>
      </c>
      <c r="F167" s="4" t="str">
        <f>VLOOKUP(B167,Raw_Data_Collection!$B$2:$F$215,5,FALSE)</f>
        <v>N</v>
      </c>
      <c r="G167" s="3">
        <f>VLOOKUP(B167,Raw_Data_Collection!$B$2:$J$215,6,FALSE)</f>
        <v>7167000</v>
      </c>
      <c r="J167" s="2" t="str">
        <f>VLOOKUP(B167,Raw_Data_Collection!$B$2:$J$215,9,FALSE)</f>
        <v/>
      </c>
      <c r="K167" s="18">
        <f>VLOOKUP(B167,Real_Estate_Stats_Preferred!$A$2:$G$215,7,FALSE)</f>
        <v>10176571.43</v>
      </c>
      <c r="L167" s="18">
        <f t="shared" si="1"/>
        <v>1589823429</v>
      </c>
      <c r="M167" s="4">
        <v>0.37</v>
      </c>
      <c r="N167" s="4">
        <v>0.05</v>
      </c>
      <c r="O167" s="29">
        <f t="shared" si="2"/>
        <v>79491171.43</v>
      </c>
      <c r="P167" s="29">
        <f t="shared" si="3"/>
        <v>126176462.6</v>
      </c>
      <c r="Q167" s="29">
        <f t="shared" si="4"/>
        <v>46685291.16</v>
      </c>
      <c r="R167" s="4">
        <v>0.075</v>
      </c>
      <c r="S167" s="29">
        <f t="shared" si="5"/>
        <v>91414847.14</v>
      </c>
      <c r="T167" s="29">
        <f t="shared" si="6"/>
        <v>145102932</v>
      </c>
      <c r="U167" s="29">
        <f t="shared" si="7"/>
        <v>53688084.83</v>
      </c>
    </row>
    <row r="168" ht="14.25" customHeight="1">
      <c r="A168" s="4">
        <v>166.0</v>
      </c>
      <c r="B168" s="2" t="s">
        <v>550</v>
      </c>
      <c r="C168" s="2" t="s">
        <v>545</v>
      </c>
      <c r="D168" s="3">
        <v>1.6E9</v>
      </c>
      <c r="E168" s="2" t="s">
        <v>308</v>
      </c>
      <c r="F168" s="4" t="str">
        <f>VLOOKUP(B168,Raw_Data_Collection!$B$2:$F$215,5,FALSE)</f>
        <v>N</v>
      </c>
      <c r="G168" s="3">
        <f>VLOOKUP(B168,Raw_Data_Collection!$B$2:$J$215,6,FALSE)</f>
        <v>35820000</v>
      </c>
      <c r="H168" s="5" t="s">
        <v>551</v>
      </c>
      <c r="I168" s="4">
        <v>2018.0</v>
      </c>
      <c r="J168" s="2" t="str">
        <f>VLOOKUP(B168,Raw_Data_Collection!$B$2:$J$215,9,FALSE)</f>
        <v/>
      </c>
      <c r="K168" s="18">
        <f>VLOOKUP(B168,Real_Estate_Stats_Preferred!$A$2:$G$215,7,FALSE)</f>
        <v>35820000</v>
      </c>
      <c r="L168" s="18">
        <f t="shared" si="1"/>
        <v>1564180000</v>
      </c>
      <c r="M168" s="4">
        <v>0.37</v>
      </c>
      <c r="N168" s="4">
        <v>0.05</v>
      </c>
      <c r="O168" s="29">
        <f t="shared" si="2"/>
        <v>78209000</v>
      </c>
      <c r="P168" s="29">
        <f t="shared" si="3"/>
        <v>124141269.8</v>
      </c>
      <c r="Q168" s="29">
        <f t="shared" si="4"/>
        <v>45932269.84</v>
      </c>
      <c r="R168" s="4">
        <v>0.075</v>
      </c>
      <c r="S168" s="29">
        <f t="shared" si="5"/>
        <v>89940350</v>
      </c>
      <c r="T168" s="29">
        <f t="shared" si="6"/>
        <v>142762460.3</v>
      </c>
      <c r="U168" s="29">
        <f t="shared" si="7"/>
        <v>52822110.32</v>
      </c>
      <c r="V168" s="4"/>
      <c r="W168" s="4"/>
      <c r="X168" s="4" t="s">
        <v>552</v>
      </c>
    </row>
    <row r="169" ht="14.25" customHeight="1">
      <c r="A169" s="4">
        <v>167.0</v>
      </c>
      <c r="B169" s="2" t="s">
        <v>553</v>
      </c>
      <c r="C169" s="2" t="s">
        <v>545</v>
      </c>
      <c r="D169" s="3">
        <v>1.6E9</v>
      </c>
      <c r="E169" s="2" t="s">
        <v>440</v>
      </c>
      <c r="F169" s="4" t="str">
        <f>VLOOKUP(B169,Raw_Data_Collection!$B$2:$F$215,5,FALSE)</f>
        <v>N</v>
      </c>
      <c r="G169" s="3" t="str">
        <f>VLOOKUP(B169,Raw_Data_Collection!$B$2:$J$215,6,FALSE)</f>
        <v/>
      </c>
      <c r="J169" s="2" t="str">
        <f>VLOOKUP(B169,Raw_Data_Collection!$B$2:$J$215,9,FALSE)</f>
        <v/>
      </c>
      <c r="K169" s="18">
        <f>VLOOKUP(B169,Real_Estate_Stats_Preferred!$A$2:$G$215,7,FALSE)</f>
        <v>10176571.43</v>
      </c>
      <c r="L169" s="18">
        <f t="shared" si="1"/>
        <v>1589823429</v>
      </c>
      <c r="M169" s="4">
        <v>0.37</v>
      </c>
      <c r="N169" s="4">
        <v>0.05</v>
      </c>
      <c r="O169" s="29">
        <f t="shared" si="2"/>
        <v>79491171.43</v>
      </c>
      <c r="P169" s="29">
        <f t="shared" si="3"/>
        <v>126176462.6</v>
      </c>
      <c r="Q169" s="29">
        <f t="shared" si="4"/>
        <v>46685291.16</v>
      </c>
      <c r="R169" s="4">
        <v>0.075</v>
      </c>
      <c r="S169" s="29">
        <f t="shared" si="5"/>
        <v>91414847.14</v>
      </c>
      <c r="T169" s="29">
        <f t="shared" si="6"/>
        <v>145102932</v>
      </c>
      <c r="U169" s="29">
        <f t="shared" si="7"/>
        <v>53688084.83</v>
      </c>
    </row>
    <row r="170" ht="14.25" customHeight="1">
      <c r="A170" s="4">
        <v>168.0</v>
      </c>
      <c r="B170" s="2" t="s">
        <v>554</v>
      </c>
      <c r="C170" s="2" t="s">
        <v>545</v>
      </c>
      <c r="D170" s="3">
        <v>1.6E9</v>
      </c>
      <c r="E170" s="2" t="s">
        <v>100</v>
      </c>
      <c r="F170" s="4" t="str">
        <f>VLOOKUP(B170,Raw_Data_Collection!$B$2:$F$215,5,FALSE)</f>
        <v>N</v>
      </c>
      <c r="G170" s="3" t="str">
        <f>VLOOKUP(B170,Raw_Data_Collection!$B$2:$J$215,6,FALSE)</f>
        <v/>
      </c>
      <c r="J170" s="2" t="str">
        <f>VLOOKUP(B170,Raw_Data_Collection!$B$2:$J$215,9,FALSE)</f>
        <v/>
      </c>
      <c r="K170" s="18">
        <f>VLOOKUP(B170,Real_Estate_Stats_Preferred!$A$2:$G$215,7,FALSE)</f>
        <v>10176571.43</v>
      </c>
      <c r="L170" s="18">
        <f t="shared" si="1"/>
        <v>1589823429</v>
      </c>
      <c r="M170" s="4">
        <v>0.37</v>
      </c>
      <c r="N170" s="4">
        <v>0.05</v>
      </c>
      <c r="O170" s="29">
        <f t="shared" si="2"/>
        <v>79491171.43</v>
      </c>
      <c r="P170" s="29">
        <f t="shared" si="3"/>
        <v>126176462.6</v>
      </c>
      <c r="Q170" s="29">
        <f t="shared" si="4"/>
        <v>46685291.16</v>
      </c>
      <c r="R170" s="4">
        <v>0.075</v>
      </c>
      <c r="S170" s="29">
        <f t="shared" si="5"/>
        <v>91414847.14</v>
      </c>
      <c r="T170" s="29">
        <f t="shared" si="6"/>
        <v>145102932</v>
      </c>
      <c r="U170" s="29">
        <f t="shared" si="7"/>
        <v>53688084.83</v>
      </c>
    </row>
    <row r="171" ht="14.25" customHeight="1">
      <c r="A171" s="4">
        <v>169.0</v>
      </c>
      <c r="B171" s="2" t="s">
        <v>555</v>
      </c>
      <c r="C171" s="2" t="s">
        <v>545</v>
      </c>
      <c r="D171" s="3">
        <v>1.6E9</v>
      </c>
      <c r="E171" s="2" t="s">
        <v>47</v>
      </c>
      <c r="F171" s="4" t="str">
        <f>VLOOKUP(B171,Raw_Data_Collection!$B$2:$F$215,5,FALSE)</f>
        <v>N</v>
      </c>
      <c r="G171" s="3">
        <f>VLOOKUP(B171,Raw_Data_Collection!$B$2:$J$215,6,FALSE)</f>
        <v>15000000</v>
      </c>
      <c r="H171" s="5" t="s">
        <v>556</v>
      </c>
      <c r="I171" s="4">
        <v>2017.0</v>
      </c>
      <c r="J171" s="2" t="str">
        <f>VLOOKUP(B171,Raw_Data_Collection!$B$2:$J$215,9,FALSE)</f>
        <v/>
      </c>
      <c r="K171" s="18">
        <f>VLOOKUP(B171,Real_Estate_Stats_Preferred!$A$2:$G$215,7,FALSE)</f>
        <v>15000000</v>
      </c>
      <c r="L171" s="18">
        <f t="shared" si="1"/>
        <v>1585000000</v>
      </c>
      <c r="M171" s="4">
        <v>0.37</v>
      </c>
      <c r="N171" s="4">
        <v>0.05</v>
      </c>
      <c r="O171" s="29">
        <f t="shared" si="2"/>
        <v>79250000</v>
      </c>
      <c r="P171" s="29">
        <f t="shared" si="3"/>
        <v>125793650.8</v>
      </c>
      <c r="Q171" s="29">
        <f t="shared" si="4"/>
        <v>46543650.79</v>
      </c>
      <c r="R171" s="4">
        <v>0.075</v>
      </c>
      <c r="S171" s="29">
        <f t="shared" si="5"/>
        <v>91137500</v>
      </c>
      <c r="T171" s="29">
        <f t="shared" si="6"/>
        <v>144662698.4</v>
      </c>
      <c r="U171" s="29">
        <f t="shared" si="7"/>
        <v>53525198.41</v>
      </c>
      <c r="V171" s="4"/>
      <c r="W171" s="4"/>
    </row>
    <row r="172" ht="14.25" customHeight="1">
      <c r="A172" s="4">
        <v>170.0</v>
      </c>
      <c r="B172" s="2" t="s">
        <v>557</v>
      </c>
      <c r="C172" s="2" t="s">
        <v>545</v>
      </c>
      <c r="D172" s="3">
        <v>1.6E9</v>
      </c>
      <c r="E172" s="2" t="s">
        <v>308</v>
      </c>
      <c r="F172" s="4" t="str">
        <f>VLOOKUP(B172,Raw_Data_Collection!$B$2:$F$215,5,FALSE)</f>
        <v>N</v>
      </c>
      <c r="G172" s="3">
        <f>VLOOKUP(B172,Raw_Data_Collection!$B$2:$J$215,6,FALSE)</f>
        <v>8030000</v>
      </c>
      <c r="H172" s="5" t="s">
        <v>558</v>
      </c>
      <c r="I172" s="4">
        <v>2026.0</v>
      </c>
      <c r="J172" s="18">
        <f>VLOOKUP(B172,Raw_Data_Collection!$B$2:$J$215,9,FALSE)</f>
        <v>8030000</v>
      </c>
      <c r="K172" s="18">
        <f>VLOOKUP(B172,Real_Estate_Stats_Preferred!$A$2:$G$215,7,FALSE)</f>
        <v>8030000</v>
      </c>
      <c r="L172" s="18">
        <f t="shared" si="1"/>
        <v>1591970000</v>
      </c>
      <c r="M172" s="4">
        <v>0.37</v>
      </c>
      <c r="N172" s="4">
        <v>0.05</v>
      </c>
      <c r="O172" s="29">
        <f t="shared" si="2"/>
        <v>79598500</v>
      </c>
      <c r="P172" s="29">
        <f t="shared" si="3"/>
        <v>126346825.4</v>
      </c>
      <c r="Q172" s="29">
        <f t="shared" si="4"/>
        <v>46748325.4</v>
      </c>
      <c r="R172" s="4">
        <v>0.075</v>
      </c>
      <c r="S172" s="29">
        <f t="shared" si="5"/>
        <v>91538275</v>
      </c>
      <c r="T172" s="29">
        <f t="shared" si="6"/>
        <v>145298849.2</v>
      </c>
      <c r="U172" s="29">
        <f t="shared" si="7"/>
        <v>53760574.21</v>
      </c>
      <c r="V172" s="4"/>
      <c r="W172" s="4"/>
    </row>
    <row r="173" ht="14.25" customHeight="1">
      <c r="A173" s="4">
        <v>171.0</v>
      </c>
      <c r="B173" s="2" t="s">
        <v>560</v>
      </c>
      <c r="C173" s="2" t="s">
        <v>545</v>
      </c>
      <c r="D173" s="3">
        <v>1.6E9</v>
      </c>
      <c r="E173" s="2" t="s">
        <v>100</v>
      </c>
      <c r="F173" s="4" t="str">
        <f>VLOOKUP(B173,Raw_Data_Collection!$B$2:$F$215,5,FALSE)</f>
        <v>N</v>
      </c>
      <c r="G173" s="3" t="str">
        <f>VLOOKUP(B173,Raw_Data_Collection!$B$2:$J$215,6,FALSE)</f>
        <v/>
      </c>
      <c r="J173" s="18">
        <f>VLOOKUP(B173,Raw_Data_Collection!$B$2:$J$215,9,FALSE)</f>
        <v>10961462</v>
      </c>
      <c r="K173" s="18">
        <f>VLOOKUP(B173,Real_Estate_Stats_Preferred!$A$2:$G$215,7,FALSE)</f>
        <v>10961462</v>
      </c>
      <c r="L173" s="18">
        <f t="shared" si="1"/>
        <v>1589038538</v>
      </c>
      <c r="M173" s="4">
        <v>0.37</v>
      </c>
      <c r="N173" s="4">
        <v>0.05</v>
      </c>
      <c r="O173" s="29">
        <f t="shared" si="2"/>
        <v>79451926.9</v>
      </c>
      <c r="P173" s="29">
        <f t="shared" si="3"/>
        <v>126114169.7</v>
      </c>
      <c r="Q173" s="29">
        <f t="shared" si="4"/>
        <v>46662242.78</v>
      </c>
      <c r="R173" s="4">
        <v>0.075</v>
      </c>
      <c r="S173" s="29">
        <f t="shared" si="5"/>
        <v>91369715.94</v>
      </c>
      <c r="T173" s="29">
        <f t="shared" si="6"/>
        <v>145031295.1</v>
      </c>
      <c r="U173" s="29">
        <f t="shared" si="7"/>
        <v>53661579.2</v>
      </c>
    </row>
    <row r="174" ht="14.25" customHeight="1">
      <c r="A174" s="4">
        <v>172.0</v>
      </c>
      <c r="B174" s="2" t="s">
        <v>563</v>
      </c>
      <c r="C174" s="2" t="s">
        <v>545</v>
      </c>
      <c r="D174" s="3">
        <v>1.6E9</v>
      </c>
      <c r="E174" s="2" t="s">
        <v>63</v>
      </c>
      <c r="F174" s="4" t="str">
        <f>VLOOKUP(B174,Raw_Data_Collection!$B$2:$F$215,5,FALSE)</f>
        <v>N</v>
      </c>
      <c r="G174" s="3" t="str">
        <f>VLOOKUP(B174,Raw_Data_Collection!$B$2:$J$215,6,FALSE)</f>
        <v/>
      </c>
      <c r="J174" s="2" t="str">
        <f>VLOOKUP(B174,Raw_Data_Collection!$B$2:$J$215,9,FALSE)</f>
        <v/>
      </c>
      <c r="K174" s="18">
        <f>VLOOKUP(B174,Real_Estate_Stats_Preferred!$A$2:$G$215,7,FALSE)</f>
        <v>10176571.43</v>
      </c>
      <c r="L174" s="18">
        <f t="shared" si="1"/>
        <v>1589823429</v>
      </c>
      <c r="M174" s="4">
        <v>0.37</v>
      </c>
      <c r="N174" s="4">
        <v>0.05</v>
      </c>
      <c r="O174" s="29">
        <f t="shared" si="2"/>
        <v>79491171.43</v>
      </c>
      <c r="P174" s="29">
        <f t="shared" si="3"/>
        <v>126176462.6</v>
      </c>
      <c r="Q174" s="29">
        <f t="shared" si="4"/>
        <v>46685291.16</v>
      </c>
      <c r="R174" s="4">
        <v>0.075</v>
      </c>
      <c r="S174" s="29">
        <f t="shared" si="5"/>
        <v>91414847.14</v>
      </c>
      <c r="T174" s="29">
        <f t="shared" si="6"/>
        <v>145102932</v>
      </c>
      <c r="U174" s="29">
        <f t="shared" si="7"/>
        <v>53688084.83</v>
      </c>
    </row>
    <row r="175" ht="14.25" customHeight="1">
      <c r="A175" s="4">
        <v>173.0</v>
      </c>
      <c r="B175" s="2" t="s">
        <v>564</v>
      </c>
      <c r="C175" s="2" t="s">
        <v>545</v>
      </c>
      <c r="D175" s="3">
        <v>1.6E9</v>
      </c>
      <c r="E175" s="2" t="s">
        <v>565</v>
      </c>
      <c r="F175" s="4" t="str">
        <f>VLOOKUP(B175,Raw_Data_Collection!$B$2:$F$215,5,FALSE)</f>
        <v>N</v>
      </c>
      <c r="G175" s="3" t="str">
        <f>VLOOKUP(B175,Raw_Data_Collection!$B$2:$J$215,6,FALSE)</f>
        <v/>
      </c>
      <c r="J175" s="2" t="str">
        <f>VLOOKUP(B175,Raw_Data_Collection!$B$2:$J$215,9,FALSE)</f>
        <v/>
      </c>
      <c r="K175" s="18">
        <f>VLOOKUP(B175,Real_Estate_Stats_Preferred!$A$2:$G$215,7,FALSE)</f>
        <v>10176571.43</v>
      </c>
      <c r="L175" s="18">
        <f t="shared" si="1"/>
        <v>1589823429</v>
      </c>
      <c r="M175" s="4">
        <v>0.37</v>
      </c>
      <c r="N175" s="4">
        <v>0.05</v>
      </c>
      <c r="O175" s="29">
        <f t="shared" si="2"/>
        <v>79491171.43</v>
      </c>
      <c r="P175" s="29">
        <f t="shared" si="3"/>
        <v>126176462.6</v>
      </c>
      <c r="Q175" s="29">
        <f t="shared" si="4"/>
        <v>46685291.16</v>
      </c>
      <c r="R175" s="4">
        <v>0.075</v>
      </c>
      <c r="S175" s="29">
        <f t="shared" si="5"/>
        <v>91414847.14</v>
      </c>
      <c r="T175" s="29">
        <f t="shared" si="6"/>
        <v>145102932</v>
      </c>
      <c r="U175" s="29">
        <f t="shared" si="7"/>
        <v>53688084.83</v>
      </c>
    </row>
    <row r="176" ht="14.25" customHeight="1">
      <c r="A176" s="4">
        <v>174.0</v>
      </c>
      <c r="B176" s="2" t="s">
        <v>566</v>
      </c>
      <c r="C176" s="2" t="s">
        <v>567</v>
      </c>
      <c r="D176" s="3">
        <v>1.5E9</v>
      </c>
      <c r="E176" s="2" t="s">
        <v>100</v>
      </c>
      <c r="F176" s="4" t="str">
        <f>VLOOKUP(B176,Raw_Data_Collection!$B$2:$F$215,5,FALSE)</f>
        <v>N</v>
      </c>
      <c r="G176" s="3">
        <f>VLOOKUP(B176,Raw_Data_Collection!$B$2:$J$215,6,FALSE)</f>
        <v>15398401</v>
      </c>
      <c r="H176" s="5" t="s">
        <v>568</v>
      </c>
      <c r="I176" s="4">
        <v>2026.0</v>
      </c>
      <c r="J176" s="18">
        <f>VLOOKUP(B176,Raw_Data_Collection!$B$2:$J$215,9,FALSE)</f>
        <v>15398401</v>
      </c>
      <c r="K176" s="18">
        <f>VLOOKUP(B176,Real_Estate_Stats_Preferred!$A$2:$G$215,7,FALSE)</f>
        <v>15398401</v>
      </c>
      <c r="L176" s="18">
        <f t="shared" si="1"/>
        <v>1484601599</v>
      </c>
      <c r="M176" s="4">
        <v>0.37</v>
      </c>
      <c r="N176" s="4">
        <v>0.05</v>
      </c>
      <c r="O176" s="29">
        <f t="shared" si="2"/>
        <v>74230079.95</v>
      </c>
      <c r="P176" s="29">
        <f t="shared" si="3"/>
        <v>117825523.7</v>
      </c>
      <c r="Q176" s="29">
        <f t="shared" si="4"/>
        <v>43595443.78</v>
      </c>
      <c r="R176" s="4">
        <v>0.075</v>
      </c>
      <c r="S176" s="29">
        <f t="shared" si="5"/>
        <v>85364591.94</v>
      </c>
      <c r="T176" s="29">
        <f t="shared" si="6"/>
        <v>135499352.3</v>
      </c>
      <c r="U176" s="29">
        <f t="shared" si="7"/>
        <v>50134760.35</v>
      </c>
      <c r="V176" s="4"/>
      <c r="W176" s="4"/>
      <c r="X176" s="9" t="s">
        <v>844</v>
      </c>
    </row>
    <row r="177" ht="14.25" customHeight="1">
      <c r="A177" s="4">
        <v>175.0</v>
      </c>
      <c r="B177" s="2" t="s">
        <v>570</v>
      </c>
      <c r="C177" s="2" t="s">
        <v>567</v>
      </c>
      <c r="D177" s="3">
        <v>1.5E9</v>
      </c>
      <c r="E177" s="2" t="s">
        <v>80</v>
      </c>
      <c r="F177" s="4" t="str">
        <f>VLOOKUP(B177,Raw_Data_Collection!$B$2:$F$215,5,FALSE)</f>
        <v>N</v>
      </c>
      <c r="G177" s="3">
        <f>VLOOKUP(B177,Raw_Data_Collection!$B$2:$J$215,6,FALSE)</f>
        <v>15713764</v>
      </c>
      <c r="H177" s="5" t="s">
        <v>571</v>
      </c>
      <c r="I177" s="4">
        <v>2026.0</v>
      </c>
      <c r="J177" s="18">
        <f>VLOOKUP(B177,Raw_Data_Collection!$B$2:$J$215,9,FALSE)</f>
        <v>15713764</v>
      </c>
      <c r="K177" s="18">
        <f>VLOOKUP(B177,Real_Estate_Stats_Preferred!$A$2:$G$215,7,FALSE)</f>
        <v>15713764</v>
      </c>
      <c r="L177" s="18">
        <f t="shared" si="1"/>
        <v>1484286236</v>
      </c>
      <c r="M177" s="4">
        <v>0.37</v>
      </c>
      <c r="N177" s="4">
        <v>0.05</v>
      </c>
      <c r="O177" s="29">
        <f t="shared" si="2"/>
        <v>74214311.8</v>
      </c>
      <c r="P177" s="29">
        <f t="shared" si="3"/>
        <v>117800494.9</v>
      </c>
      <c r="Q177" s="29">
        <f t="shared" si="4"/>
        <v>43586183.12</v>
      </c>
      <c r="R177" s="4">
        <v>0.075</v>
      </c>
      <c r="S177" s="29">
        <f t="shared" si="5"/>
        <v>85346458.57</v>
      </c>
      <c r="T177" s="29">
        <f t="shared" si="6"/>
        <v>135470569.2</v>
      </c>
      <c r="U177" s="29">
        <f t="shared" si="7"/>
        <v>50124110.59</v>
      </c>
      <c r="V177" s="4"/>
      <c r="W177" s="4"/>
      <c r="X177" s="9" t="s">
        <v>845</v>
      </c>
    </row>
    <row r="178" ht="14.25" customHeight="1">
      <c r="A178" s="4">
        <v>176.0</v>
      </c>
      <c r="B178" s="2" t="s">
        <v>573</v>
      </c>
      <c r="C178" s="2" t="s">
        <v>567</v>
      </c>
      <c r="D178" s="3">
        <v>1.5E9</v>
      </c>
      <c r="E178" s="2" t="s">
        <v>47</v>
      </c>
      <c r="F178" s="4" t="str">
        <f>VLOOKUP(B178,Raw_Data_Collection!$B$2:$F$215,5,FALSE)</f>
        <v>N</v>
      </c>
      <c r="G178" s="3" t="str">
        <f>VLOOKUP(B178,Raw_Data_Collection!$B$2:$J$215,6,FALSE)</f>
        <v/>
      </c>
      <c r="J178" s="2" t="str">
        <f>VLOOKUP(B178,Raw_Data_Collection!$B$2:$J$215,9,FALSE)</f>
        <v/>
      </c>
      <c r="K178" s="18">
        <f>VLOOKUP(B178,Real_Estate_Stats_Preferred!$A$2:$G$215,7,FALSE)</f>
        <v>9540535.714</v>
      </c>
      <c r="L178" s="18">
        <f t="shared" si="1"/>
        <v>1490459464</v>
      </c>
      <c r="M178" s="4">
        <v>0.37</v>
      </c>
      <c r="N178" s="4">
        <v>0.05</v>
      </c>
      <c r="O178" s="29">
        <f t="shared" si="2"/>
        <v>74522973.21</v>
      </c>
      <c r="P178" s="29">
        <f t="shared" si="3"/>
        <v>118290433.7</v>
      </c>
      <c r="Q178" s="29">
        <f t="shared" si="4"/>
        <v>43767460.46</v>
      </c>
      <c r="R178" s="4">
        <v>0.075</v>
      </c>
      <c r="S178" s="29">
        <f t="shared" si="5"/>
        <v>85701419.2</v>
      </c>
      <c r="T178" s="29">
        <f t="shared" si="6"/>
        <v>136033998.7</v>
      </c>
      <c r="U178" s="29">
        <f t="shared" si="7"/>
        <v>50332579.53</v>
      </c>
    </row>
    <row r="179" ht="14.25" customHeight="1">
      <c r="A179" s="4">
        <v>177.0</v>
      </c>
      <c r="B179" s="2" t="s">
        <v>574</v>
      </c>
      <c r="C179" s="2" t="s">
        <v>567</v>
      </c>
      <c r="D179" s="3">
        <v>1.5E9</v>
      </c>
      <c r="E179" s="2" t="s">
        <v>100</v>
      </c>
      <c r="F179" s="4" t="str">
        <f>VLOOKUP(B179,Raw_Data_Collection!$B$2:$F$215,5,FALSE)</f>
        <v>N</v>
      </c>
      <c r="G179" s="3">
        <f>VLOOKUP(B179,Raw_Data_Collection!$B$2:$J$215,6,FALSE)</f>
        <v>6085000</v>
      </c>
      <c r="H179" s="5" t="s">
        <v>575</v>
      </c>
      <c r="I179" s="4">
        <v>2026.0</v>
      </c>
      <c r="J179" s="18">
        <f>VLOOKUP(B179,Raw_Data_Collection!$B$2:$J$215,9,FALSE)</f>
        <v>6016000</v>
      </c>
      <c r="K179" s="18">
        <f>VLOOKUP(B179,Real_Estate_Stats_Preferred!$A$2:$G$215,7,FALSE)</f>
        <v>6016000</v>
      </c>
      <c r="L179" s="18">
        <f t="shared" si="1"/>
        <v>1493984000</v>
      </c>
      <c r="M179" s="4">
        <v>0.37</v>
      </c>
      <c r="N179" s="4">
        <v>0.05</v>
      </c>
      <c r="O179" s="29">
        <f t="shared" si="2"/>
        <v>74699200</v>
      </c>
      <c r="P179" s="29">
        <f t="shared" si="3"/>
        <v>118570158.7</v>
      </c>
      <c r="Q179" s="29">
        <f t="shared" si="4"/>
        <v>43870958.73</v>
      </c>
      <c r="R179" s="4">
        <v>0.075</v>
      </c>
      <c r="S179" s="29">
        <f t="shared" si="5"/>
        <v>85904080</v>
      </c>
      <c r="T179" s="29">
        <f t="shared" si="6"/>
        <v>136355682.5</v>
      </c>
      <c r="U179" s="29">
        <f t="shared" si="7"/>
        <v>50451602.54</v>
      </c>
      <c r="V179" s="4"/>
      <c r="W179" s="4"/>
      <c r="X179" s="6" t="s">
        <v>846</v>
      </c>
    </row>
    <row r="180" ht="14.25" customHeight="1">
      <c r="A180" s="4">
        <v>178.0</v>
      </c>
      <c r="B180" s="2" t="s">
        <v>577</v>
      </c>
      <c r="C180" s="2" t="s">
        <v>567</v>
      </c>
      <c r="D180" s="3">
        <v>1.5E9</v>
      </c>
      <c r="E180" s="2" t="s">
        <v>100</v>
      </c>
      <c r="F180" s="4" t="str">
        <f>VLOOKUP(B180,Raw_Data_Collection!$B$2:$F$215,5,FALSE)</f>
        <v>N</v>
      </c>
      <c r="G180" s="3" t="str">
        <f>VLOOKUP(B180,Raw_Data_Collection!$B$2:$J$215,6,FALSE)</f>
        <v/>
      </c>
      <c r="J180" s="2" t="str">
        <f>VLOOKUP(B180,Raw_Data_Collection!$B$2:$J$215,9,FALSE)</f>
        <v/>
      </c>
      <c r="K180" s="18">
        <f>VLOOKUP(B180,Real_Estate_Stats_Preferred!$A$2:$G$215,7,FALSE)</f>
        <v>9540535.714</v>
      </c>
      <c r="L180" s="18">
        <f t="shared" si="1"/>
        <v>1490459464</v>
      </c>
      <c r="M180" s="4">
        <v>0.37</v>
      </c>
      <c r="N180" s="4">
        <v>0.05</v>
      </c>
      <c r="O180" s="29">
        <f t="shared" si="2"/>
        <v>74522973.21</v>
      </c>
      <c r="P180" s="29">
        <f t="shared" si="3"/>
        <v>118290433.7</v>
      </c>
      <c r="Q180" s="29">
        <f t="shared" si="4"/>
        <v>43767460.46</v>
      </c>
      <c r="R180" s="4">
        <v>0.075</v>
      </c>
      <c r="S180" s="29">
        <f t="shared" si="5"/>
        <v>85701419.2</v>
      </c>
      <c r="T180" s="29">
        <f t="shared" si="6"/>
        <v>136033998.7</v>
      </c>
      <c r="U180" s="29">
        <f t="shared" si="7"/>
        <v>50332579.53</v>
      </c>
    </row>
    <row r="181" ht="14.25" customHeight="1">
      <c r="A181" s="4">
        <v>179.0</v>
      </c>
      <c r="B181" s="2" t="s">
        <v>578</v>
      </c>
      <c r="C181" s="2" t="s">
        <v>567</v>
      </c>
      <c r="D181" s="3">
        <v>1.5E9</v>
      </c>
      <c r="E181" s="2" t="s">
        <v>579</v>
      </c>
      <c r="F181" s="4" t="str">
        <f>VLOOKUP(B181,Raw_Data_Collection!$B$2:$F$215,5,FALSE)</f>
        <v>N</v>
      </c>
      <c r="G181" s="3" t="str">
        <f>VLOOKUP(B181,Raw_Data_Collection!$B$2:$J$215,6,FALSE)</f>
        <v/>
      </c>
      <c r="J181" s="2" t="str">
        <f>VLOOKUP(B181,Raw_Data_Collection!$B$2:$J$215,9,FALSE)</f>
        <v/>
      </c>
      <c r="K181" s="18">
        <f>VLOOKUP(B181,Real_Estate_Stats_Preferred!$A$2:$G$215,7,FALSE)</f>
        <v>9540535.714</v>
      </c>
      <c r="L181" s="18">
        <f t="shared" si="1"/>
        <v>1490459464</v>
      </c>
      <c r="M181" s="4">
        <v>0.37</v>
      </c>
      <c r="N181" s="4">
        <v>0.05</v>
      </c>
      <c r="O181" s="29">
        <f t="shared" si="2"/>
        <v>74522973.21</v>
      </c>
      <c r="P181" s="29">
        <f t="shared" si="3"/>
        <v>118290433.7</v>
      </c>
      <c r="Q181" s="29">
        <f t="shared" si="4"/>
        <v>43767460.46</v>
      </c>
      <c r="R181" s="4">
        <v>0.075</v>
      </c>
      <c r="S181" s="29">
        <f t="shared" si="5"/>
        <v>85701419.2</v>
      </c>
      <c r="T181" s="29">
        <f t="shared" si="6"/>
        <v>136033998.7</v>
      </c>
      <c r="U181" s="29">
        <f t="shared" si="7"/>
        <v>50332579.53</v>
      </c>
    </row>
    <row r="182" ht="14.25" customHeight="1">
      <c r="A182" s="4">
        <v>180.0</v>
      </c>
      <c r="B182" s="2" t="s">
        <v>580</v>
      </c>
      <c r="C182" s="2" t="s">
        <v>567</v>
      </c>
      <c r="D182" s="3">
        <v>1.5E9</v>
      </c>
      <c r="E182" s="2" t="s">
        <v>100</v>
      </c>
      <c r="F182" s="4" t="str">
        <f>VLOOKUP(B182,Raw_Data_Collection!$B$2:$F$215,5,FALSE)</f>
        <v>N</v>
      </c>
      <c r="G182" s="3" t="str">
        <f>VLOOKUP(B182,Raw_Data_Collection!$B$2:$J$215,6,FALSE)</f>
        <v/>
      </c>
      <c r="J182" s="2" t="str">
        <f>VLOOKUP(B182,Raw_Data_Collection!$B$2:$J$215,9,FALSE)</f>
        <v/>
      </c>
      <c r="K182" s="18">
        <f>VLOOKUP(B182,Real_Estate_Stats_Preferred!$A$2:$G$215,7,FALSE)</f>
        <v>9540535.714</v>
      </c>
      <c r="L182" s="18">
        <f t="shared" si="1"/>
        <v>1490459464</v>
      </c>
      <c r="M182" s="4">
        <v>0.37</v>
      </c>
      <c r="N182" s="4">
        <v>0.05</v>
      </c>
      <c r="O182" s="29">
        <f t="shared" si="2"/>
        <v>74522973.21</v>
      </c>
      <c r="P182" s="29">
        <f t="shared" si="3"/>
        <v>118290433.7</v>
      </c>
      <c r="Q182" s="29">
        <f t="shared" si="4"/>
        <v>43767460.46</v>
      </c>
      <c r="R182" s="4">
        <v>0.075</v>
      </c>
      <c r="S182" s="29">
        <f t="shared" si="5"/>
        <v>85701419.2</v>
      </c>
      <c r="T182" s="29">
        <f t="shared" si="6"/>
        <v>136033998.7</v>
      </c>
      <c r="U182" s="29">
        <f t="shared" si="7"/>
        <v>50332579.53</v>
      </c>
    </row>
    <row r="183" ht="14.25" customHeight="1">
      <c r="A183" s="4">
        <v>181.0</v>
      </c>
      <c r="B183" s="2" t="s">
        <v>581</v>
      </c>
      <c r="C183" s="2" t="s">
        <v>567</v>
      </c>
      <c r="D183" s="3">
        <v>1.5E9</v>
      </c>
      <c r="E183" s="2" t="s">
        <v>218</v>
      </c>
      <c r="F183" s="4" t="str">
        <f>VLOOKUP(B183,Raw_Data_Collection!$B$2:$F$215,5,FALSE)</f>
        <v>N</v>
      </c>
      <c r="G183" s="3">
        <f>VLOOKUP(B183,Raw_Data_Collection!$B$2:$J$215,6,FALSE)</f>
        <v>40000000</v>
      </c>
      <c r="H183" s="5" t="s">
        <v>582</v>
      </c>
      <c r="I183" s="4">
        <v>2024.0</v>
      </c>
      <c r="J183" s="18">
        <f>VLOOKUP(B183,Raw_Data_Collection!$B$2:$J$215,9,FALSE)</f>
        <v>8195833</v>
      </c>
      <c r="K183" s="18">
        <f>VLOOKUP(B183,Real_Estate_Stats_Preferred!$A$2:$G$215,7,FALSE)</f>
        <v>8195833</v>
      </c>
      <c r="L183" s="18">
        <f t="shared" si="1"/>
        <v>1491804167</v>
      </c>
      <c r="M183" s="4">
        <v>0.37</v>
      </c>
      <c r="N183" s="4">
        <v>0.05</v>
      </c>
      <c r="O183" s="29">
        <f t="shared" si="2"/>
        <v>74590208.35</v>
      </c>
      <c r="P183" s="29">
        <f t="shared" si="3"/>
        <v>118397156.1</v>
      </c>
      <c r="Q183" s="29">
        <f t="shared" si="4"/>
        <v>43806947.76</v>
      </c>
      <c r="R183" s="4">
        <v>0.075</v>
      </c>
      <c r="S183" s="29">
        <f t="shared" si="5"/>
        <v>85778739.6</v>
      </c>
      <c r="T183" s="29">
        <f t="shared" si="6"/>
        <v>136156729.5</v>
      </c>
      <c r="U183" s="29">
        <f t="shared" si="7"/>
        <v>50377989.93</v>
      </c>
      <c r="V183" s="4"/>
      <c r="W183" s="4"/>
    </row>
    <row r="184" ht="14.25" customHeight="1">
      <c r="A184" s="4">
        <v>182.0</v>
      </c>
      <c r="B184" s="2" t="s">
        <v>585</v>
      </c>
      <c r="C184" s="2" t="s">
        <v>567</v>
      </c>
      <c r="D184" s="3">
        <v>1.5E9</v>
      </c>
      <c r="E184" s="2" t="s">
        <v>586</v>
      </c>
      <c r="F184" s="4" t="str">
        <f>VLOOKUP(B184,Raw_Data_Collection!$B$2:$F$215,5,FALSE)</f>
        <v>N</v>
      </c>
      <c r="G184" s="3">
        <f>VLOOKUP(B184,Raw_Data_Collection!$B$2:$J$215,6,FALSE)</f>
        <v>3654299</v>
      </c>
      <c r="J184" s="18">
        <f>VLOOKUP(B184,Raw_Data_Collection!$B$2:$J$215,9,FALSE)</f>
        <v>31118167</v>
      </c>
      <c r="K184" s="18">
        <f>VLOOKUP(B184,Real_Estate_Stats_Preferred!$A$2:$G$215,7,FALSE)</f>
        <v>9540535.714</v>
      </c>
      <c r="L184" s="18">
        <f t="shared" si="1"/>
        <v>1490459464</v>
      </c>
      <c r="M184" s="4">
        <v>0.37</v>
      </c>
      <c r="N184" s="4">
        <v>0.05</v>
      </c>
      <c r="O184" s="29">
        <f t="shared" si="2"/>
        <v>74522973.21</v>
      </c>
      <c r="P184" s="29">
        <f t="shared" si="3"/>
        <v>118290433.7</v>
      </c>
      <c r="Q184" s="29">
        <f t="shared" si="4"/>
        <v>43767460.46</v>
      </c>
      <c r="R184" s="4">
        <v>0.075</v>
      </c>
      <c r="S184" s="29">
        <f t="shared" si="5"/>
        <v>85701419.2</v>
      </c>
      <c r="T184" s="29">
        <f t="shared" si="6"/>
        <v>136033998.7</v>
      </c>
      <c r="U184" s="29">
        <f t="shared" si="7"/>
        <v>50332579.53</v>
      </c>
    </row>
    <row r="185" ht="14.25" customHeight="1">
      <c r="A185" s="4">
        <v>183.0</v>
      </c>
      <c r="B185" s="2" t="s">
        <v>590</v>
      </c>
      <c r="C185" s="2" t="s">
        <v>591</v>
      </c>
      <c r="D185" s="3">
        <v>1.4E9</v>
      </c>
      <c r="E185" s="2" t="s">
        <v>47</v>
      </c>
      <c r="F185" s="4" t="str">
        <f>VLOOKUP(B185,Raw_Data_Collection!$B$2:$F$215,5,FALSE)</f>
        <v>N</v>
      </c>
      <c r="G185" s="3">
        <f>VLOOKUP(B185,Raw_Data_Collection!$B$2:$J$215,6,FALSE)</f>
        <v>7196000</v>
      </c>
      <c r="H185" s="5" t="s">
        <v>592</v>
      </c>
      <c r="I185" s="4">
        <v>2026.0</v>
      </c>
      <c r="J185" s="18">
        <f>VLOOKUP(B185,Raw_Data_Collection!$B$2:$J$215,9,FALSE)</f>
        <v>19420738</v>
      </c>
      <c r="K185" s="18">
        <f>VLOOKUP(B185,Real_Estate_Stats_Preferred!$A$2:$G$215,7,FALSE)</f>
        <v>19420738</v>
      </c>
      <c r="L185" s="18">
        <f t="shared" si="1"/>
        <v>1380579262</v>
      </c>
      <c r="M185" s="4">
        <v>0.37</v>
      </c>
      <c r="N185" s="4">
        <v>0.05</v>
      </c>
      <c r="O185" s="29">
        <f t="shared" si="2"/>
        <v>69028963.1</v>
      </c>
      <c r="P185" s="29">
        <f t="shared" si="3"/>
        <v>109569782.7</v>
      </c>
      <c r="Q185" s="29">
        <f t="shared" si="4"/>
        <v>40540819.6</v>
      </c>
      <c r="R185" s="4">
        <v>0.075</v>
      </c>
      <c r="S185" s="29">
        <f t="shared" si="5"/>
        <v>79383307.57</v>
      </c>
      <c r="T185" s="29">
        <f t="shared" si="6"/>
        <v>126005250.1</v>
      </c>
      <c r="U185" s="29">
        <f t="shared" si="7"/>
        <v>46621942.54</v>
      </c>
      <c r="V185" s="4"/>
      <c r="W185" s="4"/>
      <c r="X185" s="6" t="s">
        <v>847</v>
      </c>
    </row>
    <row r="186" ht="14.25" customHeight="1">
      <c r="A186" s="4">
        <v>184.0</v>
      </c>
      <c r="B186" s="2" t="s">
        <v>595</v>
      </c>
      <c r="C186" s="2" t="s">
        <v>591</v>
      </c>
      <c r="D186" s="3">
        <v>1.4E9</v>
      </c>
      <c r="E186" s="2" t="s">
        <v>218</v>
      </c>
      <c r="F186" s="4" t="str">
        <f>VLOOKUP(B186,Raw_Data_Collection!$B$2:$F$215,5,FALSE)</f>
        <v>N</v>
      </c>
      <c r="G186" s="3">
        <f>VLOOKUP(B186,Raw_Data_Collection!$B$2:$J$215,6,FALSE)</f>
        <v>7271292</v>
      </c>
      <c r="J186" s="18">
        <f>VLOOKUP(B186,Raw_Data_Collection!$B$2:$J$215,9,FALSE)</f>
        <v>7271292</v>
      </c>
      <c r="K186" s="18">
        <f>VLOOKUP(B186,Real_Estate_Stats_Preferred!$A$2:$G$215,7,FALSE)</f>
        <v>7271292</v>
      </c>
      <c r="L186" s="18">
        <f t="shared" si="1"/>
        <v>1392728708</v>
      </c>
      <c r="M186" s="4">
        <v>0.37</v>
      </c>
      <c r="N186" s="4">
        <v>0.05</v>
      </c>
      <c r="O186" s="29">
        <f t="shared" si="2"/>
        <v>69636435.4</v>
      </c>
      <c r="P186" s="29">
        <f t="shared" si="3"/>
        <v>110534024.4</v>
      </c>
      <c r="Q186" s="29">
        <f t="shared" si="4"/>
        <v>40897589.04</v>
      </c>
      <c r="R186" s="4">
        <v>0.075</v>
      </c>
      <c r="S186" s="29">
        <f t="shared" si="5"/>
        <v>80081900.71</v>
      </c>
      <c r="T186" s="29">
        <f t="shared" si="6"/>
        <v>127114128.1</v>
      </c>
      <c r="U186" s="29">
        <f t="shared" si="7"/>
        <v>47032227.4</v>
      </c>
    </row>
    <row r="187" ht="14.25" customHeight="1">
      <c r="A187" s="4">
        <v>185.0</v>
      </c>
      <c r="B187" s="2" t="s">
        <v>598</v>
      </c>
      <c r="C187" s="2" t="s">
        <v>591</v>
      </c>
      <c r="D187" s="3">
        <v>1.4E9</v>
      </c>
      <c r="E187" s="2" t="s">
        <v>100</v>
      </c>
      <c r="F187" s="4" t="str">
        <f>VLOOKUP(B187,Raw_Data_Collection!$B$2:$F$215,5,FALSE)</f>
        <v>N</v>
      </c>
      <c r="G187" s="3">
        <f>VLOOKUP(B187,Raw_Data_Collection!$B$2:$J$215,6,FALSE)</f>
        <v>2850000</v>
      </c>
      <c r="H187" s="5" t="s">
        <v>599</v>
      </c>
      <c r="I187" s="4">
        <v>2005.0</v>
      </c>
      <c r="J187" s="18">
        <f>VLOOKUP(B187,Raw_Data_Collection!$B$2:$J$215,9,FALSE)</f>
        <v>8904500</v>
      </c>
      <c r="K187" s="18">
        <f>VLOOKUP(B187,Real_Estate_Stats_Preferred!$A$2:$G$215,7,FALSE)</f>
        <v>8904500</v>
      </c>
      <c r="L187" s="18">
        <f t="shared" si="1"/>
        <v>1391095500</v>
      </c>
      <c r="M187" s="4">
        <v>0.37</v>
      </c>
      <c r="N187" s="4">
        <v>0.05</v>
      </c>
      <c r="O187" s="29">
        <f t="shared" si="2"/>
        <v>69554775</v>
      </c>
      <c r="P187" s="29">
        <f t="shared" si="3"/>
        <v>110404404.8</v>
      </c>
      <c r="Q187" s="29">
        <f t="shared" si="4"/>
        <v>40849629.76</v>
      </c>
      <c r="R187" s="4">
        <v>0.075</v>
      </c>
      <c r="S187" s="29">
        <f t="shared" si="5"/>
        <v>79987991.25</v>
      </c>
      <c r="T187" s="29">
        <f t="shared" si="6"/>
        <v>126965065.5</v>
      </c>
      <c r="U187" s="29">
        <f t="shared" si="7"/>
        <v>46977074.23</v>
      </c>
      <c r="V187" s="4"/>
      <c r="W187" s="4"/>
      <c r="X187" s="4" t="s">
        <v>733</v>
      </c>
    </row>
    <row r="188" ht="14.25" customHeight="1">
      <c r="A188" s="4">
        <v>186.0</v>
      </c>
      <c r="B188" s="2" t="s">
        <v>602</v>
      </c>
      <c r="C188" s="2" t="s">
        <v>591</v>
      </c>
      <c r="D188" s="3">
        <v>1.4E9</v>
      </c>
      <c r="E188" s="2" t="s">
        <v>47</v>
      </c>
      <c r="F188" s="4" t="str">
        <f>VLOOKUP(B188,Raw_Data_Collection!$B$2:$F$215,5,FALSE)</f>
        <v>N</v>
      </c>
      <c r="G188" s="3">
        <f>VLOOKUP(B188,Raw_Data_Collection!$B$2:$J$215,6,FALSE)</f>
        <v>29500000</v>
      </c>
      <c r="H188" s="5" t="s">
        <v>603</v>
      </c>
      <c r="I188" s="4">
        <v>2025.0</v>
      </c>
      <c r="J188" s="18">
        <f>VLOOKUP(B188,Raw_Data_Collection!$B$2:$J$215,9,FALSE)</f>
        <v>29500000</v>
      </c>
      <c r="K188" s="18">
        <f>VLOOKUP(B188,Real_Estate_Stats_Preferred!$A$2:$G$215,7,FALSE)</f>
        <v>29500000</v>
      </c>
      <c r="L188" s="18">
        <f t="shared" si="1"/>
        <v>1370500000</v>
      </c>
      <c r="M188" s="4">
        <v>0.37</v>
      </c>
      <c r="N188" s="4">
        <v>0.05</v>
      </c>
      <c r="O188" s="29">
        <f t="shared" si="2"/>
        <v>68525000</v>
      </c>
      <c r="P188" s="29">
        <f t="shared" si="3"/>
        <v>108769841.3</v>
      </c>
      <c r="Q188" s="29">
        <f t="shared" si="4"/>
        <v>40244841.27</v>
      </c>
      <c r="R188" s="4">
        <v>0.075</v>
      </c>
      <c r="S188" s="29">
        <f t="shared" si="5"/>
        <v>78803750</v>
      </c>
      <c r="T188" s="29">
        <f t="shared" si="6"/>
        <v>125085317.5</v>
      </c>
      <c r="U188" s="29">
        <f t="shared" si="7"/>
        <v>46281567.46</v>
      </c>
      <c r="V188" s="4"/>
      <c r="W188" s="4"/>
    </row>
    <row r="189" ht="14.25" customHeight="1">
      <c r="A189" s="4">
        <v>187.0</v>
      </c>
      <c r="B189" s="2" t="s">
        <v>606</v>
      </c>
      <c r="C189" s="2" t="s">
        <v>591</v>
      </c>
      <c r="D189" s="3">
        <v>1.4E9</v>
      </c>
      <c r="E189" s="2" t="s">
        <v>17</v>
      </c>
      <c r="F189" s="4" t="str">
        <f>VLOOKUP(B189,Raw_Data_Collection!$B$2:$F$215,5,FALSE)</f>
        <v>N</v>
      </c>
      <c r="G189" s="3" t="str">
        <f>VLOOKUP(B189,Raw_Data_Collection!$B$2:$J$215,6,FALSE)</f>
        <v/>
      </c>
      <c r="J189" s="2" t="str">
        <f>VLOOKUP(B189,Raw_Data_Collection!$B$2:$J$215,9,FALSE)</f>
        <v/>
      </c>
      <c r="K189" s="18">
        <f>VLOOKUP(B189,Real_Estate_Stats_Preferred!$A$2:$G$215,7,FALSE)</f>
        <v>8904500</v>
      </c>
      <c r="L189" s="18">
        <f t="shared" si="1"/>
        <v>1391095500</v>
      </c>
      <c r="M189" s="4">
        <v>0.37</v>
      </c>
      <c r="N189" s="4">
        <v>0.05</v>
      </c>
      <c r="O189" s="29">
        <f t="shared" si="2"/>
        <v>69554775</v>
      </c>
      <c r="P189" s="29">
        <f t="shared" si="3"/>
        <v>110404404.8</v>
      </c>
      <c r="Q189" s="29">
        <f t="shared" si="4"/>
        <v>40849629.76</v>
      </c>
      <c r="R189" s="4">
        <v>0.075</v>
      </c>
      <c r="S189" s="29">
        <f t="shared" si="5"/>
        <v>79987991.25</v>
      </c>
      <c r="T189" s="29">
        <f t="shared" si="6"/>
        <v>126965065.5</v>
      </c>
      <c r="U189" s="29">
        <f t="shared" si="7"/>
        <v>46977074.23</v>
      </c>
    </row>
    <row r="190" ht="14.25" customHeight="1">
      <c r="A190" s="4">
        <v>188.0</v>
      </c>
      <c r="B190" s="4" t="s">
        <v>607</v>
      </c>
      <c r="C190" s="2" t="s">
        <v>591</v>
      </c>
      <c r="D190" s="3">
        <v>1.4E9</v>
      </c>
      <c r="E190" s="2" t="s">
        <v>90</v>
      </c>
      <c r="F190" s="4" t="str">
        <f>VLOOKUP(B190,Raw_Data_Collection!$B$2:$F$215,5,FALSE)</f>
        <v>N</v>
      </c>
      <c r="G190" s="3" t="str">
        <f>VLOOKUP(B190,Raw_Data_Collection!$B$2:$J$215,6,FALSE)</f>
        <v/>
      </c>
      <c r="J190" s="2" t="str">
        <f>VLOOKUP(B190,Raw_Data_Collection!$B$2:$J$215,9,FALSE)</f>
        <v/>
      </c>
      <c r="K190" s="18">
        <f>VLOOKUP(B190,Real_Estate_Stats_Preferred!$A$2:$G$215,7,FALSE)</f>
        <v>8904500</v>
      </c>
      <c r="L190" s="18">
        <f t="shared" si="1"/>
        <v>1391095500</v>
      </c>
      <c r="M190" s="4">
        <v>0.37</v>
      </c>
      <c r="N190" s="4">
        <v>0.05</v>
      </c>
      <c r="O190" s="29">
        <f t="shared" si="2"/>
        <v>69554775</v>
      </c>
      <c r="P190" s="29">
        <f t="shared" si="3"/>
        <v>110404404.8</v>
      </c>
      <c r="Q190" s="29">
        <f t="shared" si="4"/>
        <v>40849629.76</v>
      </c>
      <c r="R190" s="4">
        <v>0.075</v>
      </c>
      <c r="S190" s="29">
        <f t="shared" si="5"/>
        <v>79987991.25</v>
      </c>
      <c r="T190" s="29">
        <f t="shared" si="6"/>
        <v>126965065.5</v>
      </c>
      <c r="U190" s="29">
        <f t="shared" si="7"/>
        <v>46977074.23</v>
      </c>
    </row>
    <row r="191" ht="14.25" customHeight="1">
      <c r="A191" s="4">
        <v>189.0</v>
      </c>
      <c r="B191" s="2" t="s">
        <v>609</v>
      </c>
      <c r="C191" s="2" t="s">
        <v>610</v>
      </c>
      <c r="D191" s="3">
        <v>1.3E9</v>
      </c>
      <c r="E191" s="2" t="s">
        <v>611</v>
      </c>
      <c r="F191" s="4" t="str">
        <f>VLOOKUP(B191,Raw_Data_Collection!$B$2:$F$215,5,FALSE)</f>
        <v>N</v>
      </c>
      <c r="G191" s="3">
        <f>VLOOKUP(B191,Raw_Data_Collection!$B$2:$J$215,6,FALSE)</f>
        <v>2648000</v>
      </c>
      <c r="H191" s="5" t="s">
        <v>612</v>
      </c>
      <c r="I191" s="4">
        <v>2026.0</v>
      </c>
      <c r="J191" s="2" t="str">
        <f>VLOOKUP(B191,Raw_Data_Collection!$B$2:$J$215,9,FALSE)</f>
        <v/>
      </c>
      <c r="K191" s="18">
        <f>VLOOKUP(B191,Real_Estate_Stats_Preferred!$A$2:$G$215,7,FALSE)</f>
        <v>2648000</v>
      </c>
      <c r="L191" s="18">
        <f t="shared" si="1"/>
        <v>1297352000</v>
      </c>
      <c r="M191" s="4">
        <v>0.37</v>
      </c>
      <c r="N191" s="4">
        <v>0.05</v>
      </c>
      <c r="O191" s="29">
        <f t="shared" si="2"/>
        <v>64867600</v>
      </c>
      <c r="P191" s="29">
        <f t="shared" si="3"/>
        <v>102964444.4</v>
      </c>
      <c r="Q191" s="29">
        <f t="shared" si="4"/>
        <v>38096844.44</v>
      </c>
      <c r="R191" s="4">
        <v>0.075</v>
      </c>
      <c r="S191" s="29">
        <f t="shared" si="5"/>
        <v>74597740</v>
      </c>
      <c r="T191" s="29">
        <f t="shared" si="6"/>
        <v>118409111.1</v>
      </c>
      <c r="U191" s="29">
        <f t="shared" si="7"/>
        <v>43811371.11</v>
      </c>
      <c r="V191" s="4"/>
      <c r="W191" s="4"/>
      <c r="X191" s="6" t="s">
        <v>848</v>
      </c>
    </row>
    <row r="192" ht="14.25" customHeight="1">
      <c r="A192" s="4">
        <v>190.0</v>
      </c>
      <c r="B192" s="2" t="s">
        <v>614</v>
      </c>
      <c r="C192" s="2" t="s">
        <v>610</v>
      </c>
      <c r="D192" s="3">
        <v>1.3E9</v>
      </c>
      <c r="E192" s="2" t="s">
        <v>268</v>
      </c>
      <c r="F192" s="4" t="str">
        <f>VLOOKUP(B192,Raw_Data_Collection!$B$2:$F$215,5,FALSE)</f>
        <v>N</v>
      </c>
      <c r="G192" s="3" t="str">
        <f>VLOOKUP(B192,Raw_Data_Collection!$B$2:$J$215,6,FALSE)</f>
        <v/>
      </c>
      <c r="J192" s="18">
        <f>VLOOKUP(B192,Raw_Data_Collection!$B$2:$J$215,9,FALSE)</f>
        <v>8089000</v>
      </c>
      <c r="K192" s="18">
        <f>VLOOKUP(B192,Real_Estate_Stats_Preferred!$A$2:$G$215,7,FALSE)</f>
        <v>8089000</v>
      </c>
      <c r="L192" s="18">
        <f t="shared" si="1"/>
        <v>1291911000</v>
      </c>
      <c r="M192" s="4">
        <v>0.37</v>
      </c>
      <c r="N192" s="4">
        <v>0.05</v>
      </c>
      <c r="O192" s="29">
        <f t="shared" si="2"/>
        <v>64595550</v>
      </c>
      <c r="P192" s="29">
        <f t="shared" si="3"/>
        <v>102532619</v>
      </c>
      <c r="Q192" s="29">
        <f t="shared" si="4"/>
        <v>37937069.05</v>
      </c>
      <c r="R192" s="4">
        <v>0.075</v>
      </c>
      <c r="S192" s="29">
        <f t="shared" si="5"/>
        <v>74284882.5</v>
      </c>
      <c r="T192" s="29">
        <f t="shared" si="6"/>
        <v>117912511.9</v>
      </c>
      <c r="U192" s="29">
        <f t="shared" si="7"/>
        <v>43627629.4</v>
      </c>
    </row>
    <row r="193" ht="14.25" customHeight="1">
      <c r="A193" s="4">
        <v>191.0</v>
      </c>
      <c r="B193" s="2" t="s">
        <v>617</v>
      </c>
      <c r="C193" s="2" t="s">
        <v>610</v>
      </c>
      <c r="D193" s="3">
        <v>1.3E9</v>
      </c>
      <c r="E193" s="2" t="s">
        <v>268</v>
      </c>
      <c r="F193" s="4" t="str">
        <f>VLOOKUP(B193,Raw_Data_Collection!$B$2:$F$215,5,FALSE)</f>
        <v>N</v>
      </c>
      <c r="G193" s="3">
        <f>VLOOKUP(B193,Raw_Data_Collection!$B$2:$J$215,6,FALSE)</f>
        <v>3006000</v>
      </c>
      <c r="H193" s="5" t="s">
        <v>618</v>
      </c>
      <c r="I193" s="4">
        <v>2026.0</v>
      </c>
      <c r="J193" s="18">
        <f>VLOOKUP(B193,Raw_Data_Collection!$B$2:$J$215,9,FALSE)</f>
        <v>14634965</v>
      </c>
      <c r="K193" s="18">
        <f>VLOOKUP(B193,Real_Estate_Stats_Preferred!$A$2:$G$215,7,FALSE)</f>
        <v>14634965</v>
      </c>
      <c r="L193" s="18">
        <f t="shared" si="1"/>
        <v>1285365035</v>
      </c>
      <c r="M193" s="4">
        <v>0.37</v>
      </c>
      <c r="N193" s="4">
        <v>0.05</v>
      </c>
      <c r="O193" s="29">
        <f t="shared" si="2"/>
        <v>64268251.75</v>
      </c>
      <c r="P193" s="29">
        <f t="shared" si="3"/>
        <v>102013098</v>
      </c>
      <c r="Q193" s="29">
        <f t="shared" si="4"/>
        <v>37744846.27</v>
      </c>
      <c r="R193" s="4">
        <v>0.075</v>
      </c>
      <c r="S193" s="29">
        <f t="shared" si="5"/>
        <v>73908489.51</v>
      </c>
      <c r="T193" s="29">
        <f t="shared" si="6"/>
        <v>117315062.7</v>
      </c>
      <c r="U193" s="29">
        <f t="shared" si="7"/>
        <v>43406573.21</v>
      </c>
      <c r="V193" s="4"/>
      <c r="W193" s="4"/>
      <c r="X193" s="10" t="s">
        <v>849</v>
      </c>
    </row>
    <row r="194" ht="14.25" customHeight="1">
      <c r="A194" s="4">
        <v>192.0</v>
      </c>
      <c r="B194" s="2" t="s">
        <v>621</v>
      </c>
      <c r="C194" s="2" t="s">
        <v>610</v>
      </c>
      <c r="D194" s="3">
        <v>1.3E9</v>
      </c>
      <c r="E194" s="2" t="s">
        <v>238</v>
      </c>
      <c r="F194" s="4" t="str">
        <f>VLOOKUP(B194,Raw_Data_Collection!$B$2:$F$215,5,FALSE)</f>
        <v>N</v>
      </c>
      <c r="G194" s="3" t="str">
        <f>VLOOKUP(B194,Raw_Data_Collection!$B$2:$J$215,6,FALSE)</f>
        <v/>
      </c>
      <c r="J194" s="18">
        <f>VLOOKUP(B194,Raw_Data_Collection!$B$2:$J$215,9,FALSE)</f>
        <v>13000000</v>
      </c>
      <c r="K194" s="18">
        <f>VLOOKUP(B194,Real_Estate_Stats_Preferred!$A$2:$G$215,7,FALSE)</f>
        <v>13000000</v>
      </c>
      <c r="L194" s="18">
        <f t="shared" si="1"/>
        <v>1287000000</v>
      </c>
      <c r="M194" s="4">
        <v>0.37</v>
      </c>
      <c r="N194" s="4">
        <v>0.05</v>
      </c>
      <c r="O194" s="29">
        <f t="shared" si="2"/>
        <v>64350000</v>
      </c>
      <c r="P194" s="29">
        <f t="shared" si="3"/>
        <v>102142857.1</v>
      </c>
      <c r="Q194" s="29">
        <f t="shared" si="4"/>
        <v>37792857.14</v>
      </c>
      <c r="R194" s="4">
        <v>0.075</v>
      </c>
      <c r="S194" s="29">
        <f t="shared" si="5"/>
        <v>74002500</v>
      </c>
      <c r="T194" s="29">
        <f t="shared" si="6"/>
        <v>117464285.7</v>
      </c>
      <c r="U194" s="29">
        <f t="shared" si="7"/>
        <v>43461785.71</v>
      </c>
    </row>
    <row r="195" ht="14.25" customHeight="1">
      <c r="A195" s="4">
        <v>193.0</v>
      </c>
      <c r="B195" s="2" t="s">
        <v>623</v>
      </c>
      <c r="C195" s="2" t="s">
        <v>610</v>
      </c>
      <c r="D195" s="3">
        <v>1.3E9</v>
      </c>
      <c r="E195" s="2" t="s">
        <v>17</v>
      </c>
      <c r="F195" s="4" t="str">
        <f>VLOOKUP(B195,Raw_Data_Collection!$B$2:$F$215,5,FALSE)</f>
        <v>N</v>
      </c>
      <c r="G195" s="3">
        <f>VLOOKUP(B195,Raw_Data_Collection!$B$2:$J$215,6,FALSE)</f>
        <v>35000000</v>
      </c>
      <c r="H195" s="5" t="s">
        <v>624</v>
      </c>
      <c r="I195" s="4">
        <v>2013.0</v>
      </c>
      <c r="J195" s="2" t="str">
        <f>VLOOKUP(B195,Raw_Data_Collection!$B$2:$J$215,9,FALSE)</f>
        <v/>
      </c>
      <c r="K195" s="18">
        <f>VLOOKUP(B195,Real_Estate_Stats_Preferred!$A$2:$G$215,7,FALSE)</f>
        <v>35000000</v>
      </c>
      <c r="L195" s="18">
        <f t="shared" si="1"/>
        <v>1265000000</v>
      </c>
      <c r="M195" s="4">
        <v>0.37</v>
      </c>
      <c r="N195" s="4">
        <v>0.05</v>
      </c>
      <c r="O195" s="29">
        <f t="shared" si="2"/>
        <v>63250000</v>
      </c>
      <c r="P195" s="29">
        <f t="shared" si="3"/>
        <v>100396825.4</v>
      </c>
      <c r="Q195" s="29">
        <f t="shared" si="4"/>
        <v>37146825.4</v>
      </c>
      <c r="R195" s="4">
        <v>0.075</v>
      </c>
      <c r="S195" s="29">
        <f t="shared" si="5"/>
        <v>72737500</v>
      </c>
      <c r="T195" s="29">
        <f t="shared" si="6"/>
        <v>115456349.2</v>
      </c>
      <c r="U195" s="29">
        <f t="shared" si="7"/>
        <v>42718849.21</v>
      </c>
      <c r="V195" s="4"/>
      <c r="W195" s="4"/>
    </row>
    <row r="196" ht="14.25" customHeight="1">
      <c r="A196" s="4">
        <v>194.0</v>
      </c>
      <c r="B196" s="2" t="s">
        <v>625</v>
      </c>
      <c r="C196" s="2" t="s">
        <v>610</v>
      </c>
      <c r="D196" s="3">
        <v>1.3E9</v>
      </c>
      <c r="E196" s="2" t="s">
        <v>626</v>
      </c>
      <c r="F196" s="4" t="str">
        <f>VLOOKUP(B196,Raw_Data_Collection!$B$2:$F$215,5,FALSE)</f>
        <v>N</v>
      </c>
      <c r="G196" s="3">
        <f>VLOOKUP(B196,Raw_Data_Collection!$B$2:$J$215,6,FALSE)</f>
        <v>16047864</v>
      </c>
      <c r="J196" s="18">
        <f>VLOOKUP(B196,Raw_Data_Collection!$B$2:$J$215,9,FALSE)</f>
        <v>16047864</v>
      </c>
      <c r="K196" s="18">
        <f>VLOOKUP(B196,Real_Estate_Stats_Preferred!$A$2:$G$215,7,FALSE)</f>
        <v>8268464.286</v>
      </c>
      <c r="L196" s="18">
        <f t="shared" si="1"/>
        <v>1291731536</v>
      </c>
      <c r="M196" s="4">
        <v>0.37</v>
      </c>
      <c r="N196" s="4">
        <v>0.05</v>
      </c>
      <c r="O196" s="29">
        <f t="shared" si="2"/>
        <v>64586576.79</v>
      </c>
      <c r="P196" s="29">
        <f t="shared" si="3"/>
        <v>102518375.9</v>
      </c>
      <c r="Q196" s="29">
        <f t="shared" si="4"/>
        <v>37931799.06</v>
      </c>
      <c r="R196" s="4">
        <v>0.075</v>
      </c>
      <c r="S196" s="29">
        <f t="shared" si="5"/>
        <v>74274563.3</v>
      </c>
      <c r="T196" s="29">
        <f t="shared" si="6"/>
        <v>117896132.2</v>
      </c>
      <c r="U196" s="29">
        <f t="shared" si="7"/>
        <v>43621568.92</v>
      </c>
    </row>
    <row r="197" ht="14.25" customHeight="1">
      <c r="A197" s="4">
        <v>195.0</v>
      </c>
      <c r="B197" s="2" t="s">
        <v>629</v>
      </c>
      <c r="C197" s="2" t="s">
        <v>610</v>
      </c>
      <c r="D197" s="3">
        <v>1.3E9</v>
      </c>
      <c r="E197" s="2" t="s">
        <v>263</v>
      </c>
      <c r="F197" s="4" t="str">
        <f>VLOOKUP(B197,Raw_Data_Collection!$B$2:$F$215,5,FALSE)</f>
        <v>N</v>
      </c>
      <c r="G197" s="3" t="str">
        <f>VLOOKUP(B197,Raw_Data_Collection!$B$2:$J$215,6,FALSE)</f>
        <v/>
      </c>
      <c r="J197" s="2" t="str">
        <f>VLOOKUP(B197,Raw_Data_Collection!$B$2:$J$215,9,FALSE)</f>
        <v/>
      </c>
      <c r="K197" s="18">
        <f>VLOOKUP(B197,Real_Estate_Stats_Preferred!$A$2:$G$215,7,FALSE)</f>
        <v>8268464.286</v>
      </c>
      <c r="L197" s="18">
        <f t="shared" si="1"/>
        <v>1291731536</v>
      </c>
      <c r="M197" s="4">
        <v>0.37</v>
      </c>
      <c r="N197" s="4">
        <v>0.05</v>
      </c>
      <c r="O197" s="29">
        <f t="shared" si="2"/>
        <v>64586576.79</v>
      </c>
      <c r="P197" s="29">
        <f t="shared" si="3"/>
        <v>102518375.9</v>
      </c>
      <c r="Q197" s="29">
        <f t="shared" si="4"/>
        <v>37931799.06</v>
      </c>
      <c r="R197" s="4">
        <v>0.075</v>
      </c>
      <c r="S197" s="29">
        <f t="shared" si="5"/>
        <v>74274563.3</v>
      </c>
      <c r="T197" s="29">
        <f t="shared" si="6"/>
        <v>117896132.2</v>
      </c>
      <c r="U197" s="29">
        <f t="shared" si="7"/>
        <v>43621568.92</v>
      </c>
    </row>
    <row r="198" ht="14.25" customHeight="1">
      <c r="A198" s="4">
        <v>196.0</v>
      </c>
      <c r="B198" s="2" t="s">
        <v>630</v>
      </c>
      <c r="C198" s="2" t="s">
        <v>610</v>
      </c>
      <c r="D198" s="3">
        <v>1.3E9</v>
      </c>
      <c r="E198" s="2" t="s">
        <v>17</v>
      </c>
      <c r="F198" s="4" t="str">
        <f>VLOOKUP(B198,Raw_Data_Collection!$B$2:$F$215,5,FALSE)</f>
        <v>N</v>
      </c>
      <c r="G198" s="3" t="str">
        <f>VLOOKUP(B198,Raw_Data_Collection!$B$2:$J$215,6,FALSE)</f>
        <v/>
      </c>
      <c r="J198" s="18">
        <f>VLOOKUP(B198,Raw_Data_Collection!$B$2:$J$215,9,FALSE)</f>
        <v>6797000</v>
      </c>
      <c r="K198" s="18">
        <f>VLOOKUP(B198,Real_Estate_Stats_Preferred!$A$2:$G$215,7,FALSE)</f>
        <v>6797000</v>
      </c>
      <c r="L198" s="18">
        <f t="shared" si="1"/>
        <v>1293203000</v>
      </c>
      <c r="M198" s="4">
        <v>0.37</v>
      </c>
      <c r="N198" s="4">
        <v>0.05</v>
      </c>
      <c r="O198" s="29">
        <f t="shared" si="2"/>
        <v>64660150</v>
      </c>
      <c r="P198" s="29">
        <f t="shared" si="3"/>
        <v>102635158.7</v>
      </c>
      <c r="Q198" s="29">
        <f t="shared" si="4"/>
        <v>37975008.73</v>
      </c>
      <c r="R198" s="4">
        <v>0.075</v>
      </c>
      <c r="S198" s="29">
        <f t="shared" si="5"/>
        <v>74359172.5</v>
      </c>
      <c r="T198" s="29">
        <f t="shared" si="6"/>
        <v>118030432.5</v>
      </c>
      <c r="U198" s="29">
        <f t="shared" si="7"/>
        <v>43671260.04</v>
      </c>
    </row>
    <row r="199" ht="14.25" customHeight="1">
      <c r="A199" s="4">
        <v>197.0</v>
      </c>
      <c r="B199" s="2" t="s">
        <v>633</v>
      </c>
      <c r="C199" s="2" t="s">
        <v>610</v>
      </c>
      <c r="D199" s="3">
        <v>1.3E9</v>
      </c>
      <c r="E199" s="2" t="s">
        <v>47</v>
      </c>
      <c r="F199" s="4" t="str">
        <f>VLOOKUP(B199,Raw_Data_Collection!$B$2:$F$215,5,FALSE)</f>
        <v>N</v>
      </c>
      <c r="G199" s="3">
        <f>VLOOKUP(B199,Raw_Data_Collection!$B$2:$J$215,6,FALSE)</f>
        <v>37000000</v>
      </c>
      <c r="H199" s="5" t="s">
        <v>634</v>
      </c>
      <c r="I199" s="4">
        <v>2025.0</v>
      </c>
      <c r="J199" s="18">
        <f>VLOOKUP(B199,Raw_Data_Collection!$B$2:$J$215,9,FALSE)</f>
        <v>70000000</v>
      </c>
      <c r="K199" s="18">
        <f>VLOOKUP(B199,Real_Estate_Stats_Preferred!$A$2:$G$215,7,FALSE)</f>
        <v>70000000</v>
      </c>
      <c r="L199" s="18">
        <f t="shared" si="1"/>
        <v>1230000000</v>
      </c>
      <c r="M199" s="4">
        <v>0.37</v>
      </c>
      <c r="N199" s="4">
        <v>0.05</v>
      </c>
      <c r="O199" s="29">
        <f t="shared" si="2"/>
        <v>61500000</v>
      </c>
      <c r="P199" s="29">
        <f t="shared" si="3"/>
        <v>97619047.62</v>
      </c>
      <c r="Q199" s="29">
        <f t="shared" si="4"/>
        <v>36119047.62</v>
      </c>
      <c r="R199" s="4">
        <v>0.075</v>
      </c>
      <c r="S199" s="29">
        <f t="shared" si="5"/>
        <v>70725000</v>
      </c>
      <c r="T199" s="29">
        <f t="shared" si="6"/>
        <v>112261904.8</v>
      </c>
      <c r="U199" s="29">
        <f t="shared" si="7"/>
        <v>41536904.76</v>
      </c>
      <c r="V199" s="4"/>
      <c r="W199" s="4"/>
    </row>
    <row r="200" ht="14.25" customHeight="1">
      <c r="A200" s="4">
        <v>198.0</v>
      </c>
      <c r="B200" s="2" t="s">
        <v>636</v>
      </c>
      <c r="C200" s="2" t="s">
        <v>610</v>
      </c>
      <c r="D200" s="3">
        <v>1.3E9</v>
      </c>
      <c r="E200" s="2" t="s">
        <v>100</v>
      </c>
      <c r="F200" s="4" t="str">
        <f>VLOOKUP(B200,Raw_Data_Collection!$B$2:$F$215,5,FALSE)</f>
        <v>N</v>
      </c>
      <c r="G200" s="3" t="str">
        <f>VLOOKUP(B200,Raw_Data_Collection!$B$2:$J$215,6,FALSE)</f>
        <v/>
      </c>
      <c r="J200" s="2" t="str">
        <f>VLOOKUP(B200,Raw_Data_Collection!$B$2:$J$215,9,FALSE)</f>
        <v/>
      </c>
      <c r="K200" s="18">
        <f>VLOOKUP(B200,Real_Estate_Stats_Preferred!$A$2:$G$215,7,FALSE)</f>
        <v>8268464.286</v>
      </c>
      <c r="L200" s="18">
        <f t="shared" si="1"/>
        <v>1291731536</v>
      </c>
      <c r="M200" s="4">
        <v>0.37</v>
      </c>
      <c r="N200" s="4">
        <v>0.05</v>
      </c>
      <c r="O200" s="29">
        <f t="shared" si="2"/>
        <v>64586576.79</v>
      </c>
      <c r="P200" s="29">
        <f t="shared" si="3"/>
        <v>102518375.9</v>
      </c>
      <c r="Q200" s="29">
        <f t="shared" si="4"/>
        <v>37931799.06</v>
      </c>
      <c r="R200" s="4">
        <v>0.075</v>
      </c>
      <c r="S200" s="29">
        <f t="shared" si="5"/>
        <v>74274563.3</v>
      </c>
      <c r="T200" s="29">
        <f t="shared" si="6"/>
        <v>117896132.2</v>
      </c>
      <c r="U200" s="29">
        <f t="shared" si="7"/>
        <v>43621568.92</v>
      </c>
    </row>
    <row r="201" ht="14.25" customHeight="1">
      <c r="A201" s="4">
        <v>199.0</v>
      </c>
      <c r="B201" s="2" t="s">
        <v>637</v>
      </c>
      <c r="C201" s="2" t="s">
        <v>610</v>
      </c>
      <c r="D201" s="3">
        <v>1.3E9</v>
      </c>
      <c r="E201" s="2" t="s">
        <v>100</v>
      </c>
      <c r="F201" s="4" t="str">
        <f>VLOOKUP(B201,Raw_Data_Collection!$B$2:$F$215,5,FALSE)</f>
        <v>N</v>
      </c>
      <c r="G201" s="3" t="str">
        <f>VLOOKUP(B201,Raw_Data_Collection!$B$2:$J$215,6,FALSE)</f>
        <v/>
      </c>
      <c r="J201" s="2" t="str">
        <f>VLOOKUP(B201,Raw_Data_Collection!$B$2:$J$215,9,FALSE)</f>
        <v/>
      </c>
      <c r="K201" s="18">
        <f>VLOOKUP(B201,Real_Estate_Stats_Preferred!$A$2:$G$215,7,FALSE)</f>
        <v>8268464.286</v>
      </c>
      <c r="L201" s="18">
        <f t="shared" si="1"/>
        <v>1291731536</v>
      </c>
      <c r="M201" s="4">
        <v>0.37</v>
      </c>
      <c r="N201" s="4">
        <v>0.05</v>
      </c>
      <c r="O201" s="29">
        <f t="shared" si="2"/>
        <v>64586576.79</v>
      </c>
      <c r="P201" s="29">
        <f t="shared" si="3"/>
        <v>102518375.9</v>
      </c>
      <c r="Q201" s="29">
        <f t="shared" si="4"/>
        <v>37931799.06</v>
      </c>
      <c r="R201" s="4">
        <v>0.075</v>
      </c>
      <c r="S201" s="29">
        <f t="shared" si="5"/>
        <v>74274563.3</v>
      </c>
      <c r="T201" s="29">
        <f t="shared" si="6"/>
        <v>117896132.2</v>
      </c>
      <c r="U201" s="29">
        <f t="shared" si="7"/>
        <v>43621568.92</v>
      </c>
    </row>
    <row r="202" ht="14.25" customHeight="1">
      <c r="A202" s="4">
        <v>200.0</v>
      </c>
      <c r="B202" s="2" t="s">
        <v>638</v>
      </c>
      <c r="C202" s="2" t="s">
        <v>639</v>
      </c>
      <c r="D202" s="3">
        <v>1.2E9</v>
      </c>
      <c r="E202" s="2" t="s">
        <v>100</v>
      </c>
      <c r="F202" s="4" t="str">
        <f>VLOOKUP(B202,Raw_Data_Collection!$B$2:$F$215,5,FALSE)</f>
        <v>N</v>
      </c>
      <c r="G202" s="3" t="str">
        <f>VLOOKUP(B202,Raw_Data_Collection!$B$2:$J$215,6,FALSE)</f>
        <v/>
      </c>
      <c r="J202" s="2" t="str">
        <f>VLOOKUP(B202,Raw_Data_Collection!$B$2:$J$215,9,FALSE)</f>
        <v/>
      </c>
      <c r="K202" s="18">
        <f>VLOOKUP(B202,Real_Estate_Stats_Preferred!$A$2:$G$215,7,FALSE)</f>
        <v>7632428.571</v>
      </c>
      <c r="L202" s="18">
        <f t="shared" si="1"/>
        <v>1192367571</v>
      </c>
      <c r="M202" s="4">
        <v>0.37</v>
      </c>
      <c r="N202" s="4">
        <v>0.05</v>
      </c>
      <c r="O202" s="29">
        <f t="shared" si="2"/>
        <v>59618378.57</v>
      </c>
      <c r="P202" s="29">
        <f t="shared" si="3"/>
        <v>94632346.94</v>
      </c>
      <c r="Q202" s="29">
        <f t="shared" si="4"/>
        <v>35013968.37</v>
      </c>
      <c r="R202" s="4">
        <v>0.075</v>
      </c>
      <c r="S202" s="29">
        <f t="shared" si="5"/>
        <v>68561135.36</v>
      </c>
      <c r="T202" s="29">
        <f t="shared" si="6"/>
        <v>108827199</v>
      </c>
      <c r="U202" s="29">
        <f t="shared" si="7"/>
        <v>40266063.62</v>
      </c>
    </row>
    <row r="203" ht="14.25" customHeight="1">
      <c r="A203" s="4">
        <v>201.0</v>
      </c>
      <c r="B203" s="2" t="s">
        <v>640</v>
      </c>
      <c r="C203" s="2" t="s">
        <v>639</v>
      </c>
      <c r="D203" s="3">
        <v>1.2E9</v>
      </c>
      <c r="E203" s="2" t="s">
        <v>100</v>
      </c>
      <c r="F203" s="4" t="str">
        <f>VLOOKUP(B203,Raw_Data_Collection!$B$2:$F$215,5,FALSE)</f>
        <v>N</v>
      </c>
      <c r="G203" s="3" t="str">
        <f>VLOOKUP(B203,Raw_Data_Collection!$B$2:$J$215,6,FALSE)</f>
        <v/>
      </c>
      <c r="J203" s="2" t="str">
        <f>VLOOKUP(B203,Raw_Data_Collection!$B$2:$J$215,9,FALSE)</f>
        <v/>
      </c>
      <c r="K203" s="18">
        <f>VLOOKUP(B203,Real_Estate_Stats_Preferred!$A$2:$G$215,7,FALSE)</f>
        <v>7632428.571</v>
      </c>
      <c r="L203" s="18">
        <f t="shared" si="1"/>
        <v>1192367571</v>
      </c>
      <c r="M203" s="4">
        <v>0.37</v>
      </c>
      <c r="N203" s="4">
        <v>0.05</v>
      </c>
      <c r="O203" s="29">
        <f t="shared" si="2"/>
        <v>59618378.57</v>
      </c>
      <c r="P203" s="29">
        <f t="shared" si="3"/>
        <v>94632346.94</v>
      </c>
      <c r="Q203" s="29">
        <f t="shared" si="4"/>
        <v>35013968.37</v>
      </c>
      <c r="R203" s="4">
        <v>0.075</v>
      </c>
      <c r="S203" s="29">
        <f t="shared" si="5"/>
        <v>68561135.36</v>
      </c>
      <c r="T203" s="29">
        <f t="shared" si="6"/>
        <v>108827199</v>
      </c>
      <c r="U203" s="29">
        <f t="shared" si="7"/>
        <v>40266063.62</v>
      </c>
    </row>
    <row r="204" ht="14.25" customHeight="1">
      <c r="A204" s="4">
        <v>202.0</v>
      </c>
      <c r="B204" s="2" t="s">
        <v>641</v>
      </c>
      <c r="C204" s="2" t="s">
        <v>639</v>
      </c>
      <c r="D204" s="3">
        <v>1.2E9</v>
      </c>
      <c r="E204" s="2" t="s">
        <v>47</v>
      </c>
      <c r="F204" s="4" t="str">
        <f>VLOOKUP(B204,Raw_Data_Collection!$B$2:$F$215,5,FALSE)</f>
        <v>N</v>
      </c>
      <c r="G204" s="3">
        <f>VLOOKUP(B204,Raw_Data_Collection!$B$2:$J$215,6,FALSE)</f>
        <v>5413302</v>
      </c>
      <c r="J204" s="18">
        <f>VLOOKUP(B204,Raw_Data_Collection!$B$2:$J$215,9,FALSE)</f>
        <v>21637069</v>
      </c>
      <c r="K204" s="18">
        <f>VLOOKUP(B204,Real_Estate_Stats_Preferred!$A$2:$G$215,7,FALSE)</f>
        <v>5413302</v>
      </c>
      <c r="L204" s="18">
        <f t="shared" si="1"/>
        <v>1194586698</v>
      </c>
      <c r="M204" s="4">
        <v>0.37</v>
      </c>
      <c r="N204" s="4">
        <v>0.05</v>
      </c>
      <c r="O204" s="29">
        <f t="shared" si="2"/>
        <v>59729334.9</v>
      </c>
      <c r="P204" s="29">
        <f t="shared" si="3"/>
        <v>94808468.1</v>
      </c>
      <c r="Q204" s="29">
        <f t="shared" si="4"/>
        <v>35079133.2</v>
      </c>
      <c r="R204" s="4">
        <v>0.075</v>
      </c>
      <c r="S204" s="29">
        <f t="shared" si="5"/>
        <v>68688735.14</v>
      </c>
      <c r="T204" s="29">
        <f t="shared" si="6"/>
        <v>109029738.3</v>
      </c>
      <c r="U204" s="29">
        <f t="shared" si="7"/>
        <v>40341003.17</v>
      </c>
    </row>
    <row r="205" ht="14.25" customHeight="1">
      <c r="A205" s="4">
        <v>203.0</v>
      </c>
      <c r="B205" s="2" t="s">
        <v>645</v>
      </c>
      <c r="C205" s="2" t="s">
        <v>639</v>
      </c>
      <c r="D205" s="3">
        <v>1.2E9</v>
      </c>
      <c r="E205" s="2" t="s">
        <v>191</v>
      </c>
      <c r="F205" s="4" t="str">
        <f>VLOOKUP(B205,Raw_Data_Collection!$B$2:$F$215,5,FALSE)</f>
        <v>N</v>
      </c>
      <c r="G205" s="3" t="str">
        <f>VLOOKUP(B205,Raw_Data_Collection!$B$2:$J$215,6,FALSE)</f>
        <v/>
      </c>
      <c r="J205" s="18">
        <f>VLOOKUP(B205,Raw_Data_Collection!$B$2:$J$215,9,FALSE)</f>
        <v>43371212</v>
      </c>
      <c r="K205" s="18">
        <f>VLOOKUP(B205,Real_Estate_Stats_Preferred!$A$2:$G$215,7,FALSE)</f>
        <v>27995000</v>
      </c>
      <c r="L205" s="18">
        <f t="shared" si="1"/>
        <v>1172005000</v>
      </c>
      <c r="M205" s="4">
        <v>0.37</v>
      </c>
      <c r="N205" s="4">
        <v>0.05</v>
      </c>
      <c r="O205" s="29">
        <f t="shared" si="2"/>
        <v>58600250</v>
      </c>
      <c r="P205" s="29">
        <f t="shared" si="3"/>
        <v>93016269.84</v>
      </c>
      <c r="Q205" s="29">
        <f t="shared" si="4"/>
        <v>34416019.84</v>
      </c>
      <c r="R205" s="4">
        <v>0.075</v>
      </c>
      <c r="S205" s="29">
        <f t="shared" si="5"/>
        <v>67390287.5</v>
      </c>
      <c r="T205" s="29">
        <f t="shared" si="6"/>
        <v>106968710.3</v>
      </c>
      <c r="U205" s="29">
        <f t="shared" si="7"/>
        <v>39578422.82</v>
      </c>
      <c r="V205" s="4">
        <v>2020.0</v>
      </c>
      <c r="W205" s="5" t="s">
        <v>736</v>
      </c>
    </row>
    <row r="206" ht="14.25" customHeight="1">
      <c r="A206" s="4">
        <v>204.0</v>
      </c>
      <c r="B206" s="4" t="s">
        <v>648</v>
      </c>
      <c r="C206" s="2" t="s">
        <v>649</v>
      </c>
      <c r="D206" s="3">
        <v>1.1E9</v>
      </c>
      <c r="E206" s="2" t="s">
        <v>47</v>
      </c>
      <c r="F206" s="4" t="str">
        <f>VLOOKUP(B206,Raw_Data_Collection!$B$2:$F$215,5,FALSE)</f>
        <v>N</v>
      </c>
      <c r="G206" s="3">
        <f>VLOOKUP(B206,Raw_Data_Collection!$B$2:$J$215,6,FALSE)</f>
        <v>5299000</v>
      </c>
      <c r="J206" s="30">
        <f>VLOOKUP(B206,Raw_Data_Collection!$B$2:$J$215,9,FALSE)</f>
        <v>10887000</v>
      </c>
      <c r="K206" s="18">
        <f>VLOOKUP(B206,Real_Estate_Stats_Preferred!$A$2:$G$215,7,FALSE)</f>
        <v>10887000</v>
      </c>
      <c r="L206" s="18">
        <f t="shared" si="1"/>
        <v>1089113000</v>
      </c>
      <c r="M206" s="4">
        <v>0.37</v>
      </c>
      <c r="N206" s="4">
        <v>0.05</v>
      </c>
      <c r="O206" s="29">
        <f t="shared" si="2"/>
        <v>54455650</v>
      </c>
      <c r="P206" s="29">
        <f t="shared" si="3"/>
        <v>86437539.68</v>
      </c>
      <c r="Q206" s="29">
        <f t="shared" si="4"/>
        <v>31981889.68</v>
      </c>
      <c r="R206" s="4">
        <v>0.075</v>
      </c>
      <c r="S206" s="29">
        <f t="shared" si="5"/>
        <v>62623997.5</v>
      </c>
      <c r="T206" s="29">
        <f t="shared" si="6"/>
        <v>99403170.63</v>
      </c>
      <c r="U206" s="29">
        <f t="shared" si="7"/>
        <v>36779173.13</v>
      </c>
      <c r="W206" s="5" t="s">
        <v>737</v>
      </c>
      <c r="X206" s="7" t="s">
        <v>850</v>
      </c>
    </row>
    <row r="207" ht="14.25" customHeight="1">
      <c r="A207" s="4">
        <v>205.0</v>
      </c>
      <c r="B207" s="2" t="s">
        <v>652</v>
      </c>
      <c r="C207" s="2" t="s">
        <v>649</v>
      </c>
      <c r="D207" s="3">
        <v>1.1E9</v>
      </c>
      <c r="E207" s="2" t="s">
        <v>17</v>
      </c>
      <c r="F207" s="4" t="str">
        <f>VLOOKUP(B207,Raw_Data_Collection!$B$2:$F$215,5,FALSE)</f>
        <v>N</v>
      </c>
      <c r="G207" s="3">
        <f>VLOOKUP(B207,Raw_Data_Collection!$B$2:$J$215,6,FALSE)</f>
        <v>13122419</v>
      </c>
      <c r="H207" s="5" t="s">
        <v>653</v>
      </c>
      <c r="I207" s="4">
        <v>2026.0</v>
      </c>
      <c r="J207" s="2" t="str">
        <f>VLOOKUP(B207,Raw_Data_Collection!$B$2:$J$215,9,FALSE)</f>
        <v/>
      </c>
      <c r="K207" s="18">
        <f>VLOOKUP(B207,Real_Estate_Stats_Preferred!$A$2:$G$215,7,FALSE)</f>
        <v>13122419</v>
      </c>
      <c r="L207" s="18">
        <f t="shared" si="1"/>
        <v>1086877581</v>
      </c>
      <c r="M207" s="4">
        <v>0.37</v>
      </c>
      <c r="N207" s="4">
        <v>0.05</v>
      </c>
      <c r="O207" s="29">
        <f t="shared" si="2"/>
        <v>54343879.05</v>
      </c>
      <c r="P207" s="29">
        <f t="shared" si="3"/>
        <v>86260125.48</v>
      </c>
      <c r="Q207" s="29">
        <f t="shared" si="4"/>
        <v>31916246.43</v>
      </c>
      <c r="R207" s="4">
        <v>0.075</v>
      </c>
      <c r="S207" s="29">
        <f t="shared" si="5"/>
        <v>62495460.91</v>
      </c>
      <c r="T207" s="29">
        <f t="shared" si="6"/>
        <v>99199144.3</v>
      </c>
      <c r="U207" s="29">
        <f t="shared" si="7"/>
        <v>36703683.39</v>
      </c>
      <c r="V207" s="4"/>
      <c r="W207" s="4"/>
      <c r="X207" s="6" t="s">
        <v>851</v>
      </c>
    </row>
    <row r="208" ht="14.25" customHeight="1">
      <c r="A208" s="4">
        <v>206.0</v>
      </c>
      <c r="B208" s="15" t="s">
        <v>655</v>
      </c>
      <c r="C208" s="2" t="s">
        <v>649</v>
      </c>
      <c r="D208" s="3">
        <v>1.1E9</v>
      </c>
      <c r="E208" s="2" t="s">
        <v>63</v>
      </c>
      <c r="F208" s="4" t="str">
        <f>VLOOKUP(B208,Raw_Data_Collection!$B$2:$F$215,5,FALSE)</f>
        <v>N</v>
      </c>
      <c r="G208" s="3" t="str">
        <f>VLOOKUP(B208,Raw_Data_Collection!$B$2:$J$215,6,FALSE)</f>
        <v/>
      </c>
      <c r="J208" s="2" t="str">
        <f>VLOOKUP(B208,Raw_Data_Collection!$B$2:$J$215,9,FALSE)</f>
        <v/>
      </c>
      <c r="K208" s="18">
        <f>VLOOKUP(B208,Real_Estate_Stats_Preferred!$A$2:$G$215,7,FALSE)</f>
        <v>6996392.857</v>
      </c>
      <c r="L208" s="18">
        <f t="shared" si="1"/>
        <v>1093003607</v>
      </c>
      <c r="M208" s="4">
        <v>0.37</v>
      </c>
      <c r="N208" s="4">
        <v>0.05</v>
      </c>
      <c r="O208" s="29">
        <f t="shared" si="2"/>
        <v>54650180.36</v>
      </c>
      <c r="P208" s="29">
        <f t="shared" si="3"/>
        <v>86746318.03</v>
      </c>
      <c r="Q208" s="29">
        <f t="shared" si="4"/>
        <v>32096137.67</v>
      </c>
      <c r="R208" s="4">
        <v>0.075</v>
      </c>
      <c r="S208" s="29">
        <f t="shared" si="5"/>
        <v>62847707.41</v>
      </c>
      <c r="T208" s="29">
        <f t="shared" si="6"/>
        <v>99758265.73</v>
      </c>
      <c r="U208" s="29">
        <f t="shared" si="7"/>
        <v>36910558.32</v>
      </c>
    </row>
    <row r="209" ht="14.25" customHeight="1">
      <c r="A209" s="4">
        <v>207.0</v>
      </c>
      <c r="B209" s="15" t="s">
        <v>656</v>
      </c>
      <c r="C209" s="2" t="s">
        <v>649</v>
      </c>
      <c r="D209" s="3">
        <v>1.1E9</v>
      </c>
      <c r="E209" s="2" t="s">
        <v>100</v>
      </c>
      <c r="F209" s="4" t="str">
        <f>VLOOKUP(B209,Raw_Data_Collection!$B$2:$F$215,5,FALSE)</f>
        <v>N</v>
      </c>
      <c r="G209" s="3" t="str">
        <f>VLOOKUP(B209,Raw_Data_Collection!$B$2:$J$215,6,FALSE)</f>
        <v/>
      </c>
      <c r="J209" s="2" t="str">
        <f>VLOOKUP(B209,Raw_Data_Collection!$B$2:$J$215,9,FALSE)</f>
        <v/>
      </c>
      <c r="K209" s="18">
        <f>VLOOKUP(B209,Real_Estate_Stats_Preferred!$A$2:$G$215,7,FALSE)</f>
        <v>6996392.857</v>
      </c>
      <c r="L209" s="18">
        <f t="shared" si="1"/>
        <v>1093003607</v>
      </c>
      <c r="M209" s="4">
        <v>0.37</v>
      </c>
      <c r="N209" s="4">
        <v>0.05</v>
      </c>
      <c r="O209" s="29">
        <f t="shared" si="2"/>
        <v>54650180.36</v>
      </c>
      <c r="P209" s="29">
        <f t="shared" si="3"/>
        <v>86746318.03</v>
      </c>
      <c r="Q209" s="29">
        <f t="shared" si="4"/>
        <v>32096137.67</v>
      </c>
      <c r="R209" s="4">
        <v>0.075</v>
      </c>
      <c r="S209" s="29">
        <f t="shared" si="5"/>
        <v>62847707.41</v>
      </c>
      <c r="T209" s="29">
        <f t="shared" si="6"/>
        <v>99758265.73</v>
      </c>
      <c r="U209" s="29">
        <f t="shared" si="7"/>
        <v>36910558.32</v>
      </c>
    </row>
    <row r="210" ht="14.25" customHeight="1">
      <c r="A210" s="4">
        <v>208.0</v>
      </c>
      <c r="B210" s="2" t="s">
        <v>657</v>
      </c>
      <c r="C210" s="2" t="s">
        <v>649</v>
      </c>
      <c r="D210" s="3">
        <v>1.1E9</v>
      </c>
      <c r="E210" s="2" t="s">
        <v>87</v>
      </c>
      <c r="F210" s="4" t="str">
        <f>VLOOKUP(B210,Raw_Data_Collection!$B$2:$F$215,5,FALSE)</f>
        <v>N</v>
      </c>
      <c r="G210" s="3">
        <f>VLOOKUP(B210,Raw_Data_Collection!$B$2:$J$215,6,FALSE)</f>
        <v>28090701</v>
      </c>
      <c r="H210" s="5" t="s">
        <v>658</v>
      </c>
      <c r="I210" s="4">
        <v>2026.0</v>
      </c>
      <c r="J210" s="2" t="str">
        <f>VLOOKUP(B210,Raw_Data_Collection!$B$2:$J$215,9,FALSE)</f>
        <v/>
      </c>
      <c r="K210" s="18">
        <f>VLOOKUP(B210,Real_Estate_Stats_Preferred!$A$2:$G$215,7,FALSE)</f>
        <v>28090701</v>
      </c>
      <c r="L210" s="18">
        <f t="shared" si="1"/>
        <v>1071909299</v>
      </c>
      <c r="M210" s="4">
        <v>0.37</v>
      </c>
      <c r="N210" s="4">
        <v>0.05</v>
      </c>
      <c r="O210" s="29">
        <f t="shared" si="2"/>
        <v>53595464.95</v>
      </c>
      <c r="P210" s="29">
        <f t="shared" si="3"/>
        <v>85072166.59</v>
      </c>
      <c r="Q210" s="29">
        <f t="shared" si="4"/>
        <v>31476701.64</v>
      </c>
      <c r="R210" s="4">
        <v>0.075</v>
      </c>
      <c r="S210" s="29">
        <f t="shared" si="5"/>
        <v>61634784.69</v>
      </c>
      <c r="T210" s="29">
        <f t="shared" si="6"/>
        <v>97832991.58</v>
      </c>
      <c r="U210" s="29">
        <f t="shared" si="7"/>
        <v>36198206.88</v>
      </c>
      <c r="V210" s="4"/>
      <c r="W210" s="12" t="s">
        <v>659</v>
      </c>
      <c r="X210" s="12" t="s">
        <v>660</v>
      </c>
    </row>
    <row r="211" ht="14.25" customHeight="1">
      <c r="A211" s="4">
        <v>209.0</v>
      </c>
      <c r="B211" s="15" t="s">
        <v>661</v>
      </c>
      <c r="C211" s="2" t="s">
        <v>662</v>
      </c>
      <c r="D211" s="3">
        <v>1.0E9</v>
      </c>
      <c r="E211" s="2" t="s">
        <v>100</v>
      </c>
      <c r="F211" s="4" t="str">
        <f>VLOOKUP(B211,Raw_Data_Collection!$B$2:$F$215,5,FALSE)</f>
        <v>N</v>
      </c>
      <c r="G211" s="3" t="str">
        <f>VLOOKUP(B211,Raw_Data_Collection!$B$2:$J$215,6,FALSE)</f>
        <v/>
      </c>
      <c r="J211" s="2" t="str">
        <f>VLOOKUP(B211,Raw_Data_Collection!$B$2:$J$215,9,FALSE)</f>
        <v/>
      </c>
      <c r="K211" s="18">
        <f>VLOOKUP(B211,Real_Estate_Stats_Preferred!$A$2:$G$215,7,FALSE)</f>
        <v>6360357.143</v>
      </c>
      <c r="L211" s="18">
        <f t="shared" si="1"/>
        <v>993639642.9</v>
      </c>
      <c r="M211" s="4">
        <v>0.37</v>
      </c>
      <c r="N211" s="4">
        <v>0.05</v>
      </c>
      <c r="O211" s="29">
        <f t="shared" si="2"/>
        <v>49681982.14</v>
      </c>
      <c r="P211" s="29">
        <f t="shared" si="3"/>
        <v>78860289.12</v>
      </c>
      <c r="Q211" s="29">
        <f t="shared" si="4"/>
        <v>29178306.97</v>
      </c>
      <c r="R211" s="4">
        <v>0.075</v>
      </c>
      <c r="S211" s="29">
        <f t="shared" si="5"/>
        <v>57134279.46</v>
      </c>
      <c r="T211" s="29">
        <f t="shared" si="6"/>
        <v>90689332.48</v>
      </c>
      <c r="U211" s="29">
        <f t="shared" si="7"/>
        <v>33555053.02</v>
      </c>
    </row>
    <row r="212" ht="14.25" customHeight="1">
      <c r="A212" s="4">
        <v>210.0</v>
      </c>
      <c r="B212" s="2" t="s">
        <v>663</v>
      </c>
      <c r="C212" s="2" t="s">
        <v>662</v>
      </c>
      <c r="D212" s="3">
        <v>1.0E9</v>
      </c>
      <c r="E212" s="2" t="s">
        <v>100</v>
      </c>
      <c r="F212" s="4" t="str">
        <f>VLOOKUP(B212,Raw_Data_Collection!$B$2:$F$215,5,FALSE)</f>
        <v>N</v>
      </c>
      <c r="G212" s="3" t="str">
        <f>VLOOKUP(B212,Raw_Data_Collection!$B$2:$J$215,6,FALSE)</f>
        <v/>
      </c>
      <c r="J212" s="2" t="str">
        <f>VLOOKUP(B212,Raw_Data_Collection!$B$2:$J$215,9,FALSE)</f>
        <v/>
      </c>
      <c r="K212" s="18">
        <f>VLOOKUP(B212,Real_Estate_Stats_Preferred!$A$2:$G$215,7,FALSE)</f>
        <v>6360357.143</v>
      </c>
      <c r="L212" s="18">
        <f t="shared" si="1"/>
        <v>993639642.9</v>
      </c>
      <c r="M212" s="4">
        <v>0.37</v>
      </c>
      <c r="N212" s="4">
        <v>0.05</v>
      </c>
      <c r="O212" s="29">
        <f t="shared" si="2"/>
        <v>49681982.14</v>
      </c>
      <c r="P212" s="29">
        <f t="shared" si="3"/>
        <v>78860289.12</v>
      </c>
      <c r="Q212" s="29">
        <f t="shared" si="4"/>
        <v>29178306.97</v>
      </c>
      <c r="R212" s="4">
        <v>0.075</v>
      </c>
      <c r="S212" s="29">
        <f t="shared" si="5"/>
        <v>57134279.46</v>
      </c>
      <c r="T212" s="29">
        <f t="shared" si="6"/>
        <v>90689332.48</v>
      </c>
      <c r="U212" s="29">
        <f t="shared" si="7"/>
        <v>33555053.02</v>
      </c>
    </row>
    <row r="213" ht="14.25" customHeight="1">
      <c r="A213" s="4">
        <v>211.0</v>
      </c>
      <c r="B213" s="2" t="s">
        <v>664</v>
      </c>
      <c r="C213" s="2" t="s">
        <v>662</v>
      </c>
      <c r="D213" s="3">
        <v>1.0E9</v>
      </c>
      <c r="E213" s="2" t="s">
        <v>100</v>
      </c>
      <c r="F213" s="4" t="str">
        <f>VLOOKUP(B213,Raw_Data_Collection!$B$2:$F$215,5,FALSE)</f>
        <v>N</v>
      </c>
      <c r="G213" s="3">
        <f>VLOOKUP(B213,Raw_Data_Collection!$B$2:$J$215,6,FALSE)</f>
        <v>6317072</v>
      </c>
      <c r="J213" s="18">
        <f>VLOOKUP(B213,Raw_Data_Collection!$B$2:$J$215,9,FALSE)</f>
        <v>6317072</v>
      </c>
      <c r="K213" s="18">
        <f>VLOOKUP(B213,Real_Estate_Stats_Preferred!$A$2:$G$215,7,FALSE)</f>
        <v>6360357.143</v>
      </c>
      <c r="L213" s="18">
        <f t="shared" si="1"/>
        <v>993639642.9</v>
      </c>
      <c r="M213" s="4">
        <v>0.37</v>
      </c>
      <c r="N213" s="4">
        <v>0.05</v>
      </c>
      <c r="O213" s="29">
        <f t="shared" si="2"/>
        <v>49681982.14</v>
      </c>
      <c r="P213" s="29">
        <f t="shared" si="3"/>
        <v>78860289.12</v>
      </c>
      <c r="Q213" s="29">
        <f t="shared" si="4"/>
        <v>29178306.97</v>
      </c>
      <c r="R213" s="4">
        <v>0.075</v>
      </c>
      <c r="S213" s="29">
        <f t="shared" si="5"/>
        <v>57134279.46</v>
      </c>
      <c r="T213" s="29">
        <f t="shared" si="6"/>
        <v>90689332.48</v>
      </c>
      <c r="U213" s="29">
        <f t="shared" si="7"/>
        <v>33555053.02</v>
      </c>
    </row>
    <row r="214" ht="14.25" customHeight="1">
      <c r="A214" s="4">
        <v>212.0</v>
      </c>
      <c r="B214" s="4" t="s">
        <v>812</v>
      </c>
      <c r="C214" s="4" t="s">
        <v>497</v>
      </c>
      <c r="D214" s="3">
        <v>2.0E9</v>
      </c>
      <c r="E214" s="2" t="s">
        <v>100</v>
      </c>
      <c r="F214" s="4" t="s">
        <v>18</v>
      </c>
      <c r="G214" s="3">
        <v>1.27526E7</v>
      </c>
      <c r="H214" s="5" t="s">
        <v>813</v>
      </c>
      <c r="I214" s="4">
        <v>2025.0</v>
      </c>
      <c r="J214" s="18">
        <f>G214</f>
        <v>12752600</v>
      </c>
      <c r="K214" s="18">
        <f>VLOOKUP(B214,Real_Estate_Stats_Preferred!$A$2:$G$215,7,FALSE)</f>
        <v>12752600</v>
      </c>
      <c r="L214" s="18">
        <f t="shared" si="1"/>
        <v>1987247400</v>
      </c>
      <c r="M214" s="4">
        <v>0.37</v>
      </c>
      <c r="N214" s="4">
        <v>0.05</v>
      </c>
      <c r="O214" s="29">
        <f t="shared" si="2"/>
        <v>99362370</v>
      </c>
      <c r="P214" s="29">
        <f t="shared" si="3"/>
        <v>157718047.6</v>
      </c>
      <c r="Q214" s="29">
        <f t="shared" si="4"/>
        <v>58355677.62</v>
      </c>
      <c r="R214" s="4">
        <v>0.075</v>
      </c>
      <c r="S214" s="29">
        <f t="shared" si="5"/>
        <v>114266725.5</v>
      </c>
      <c r="T214" s="29">
        <f t="shared" si="6"/>
        <v>181375754.8</v>
      </c>
      <c r="U214" s="29">
        <f t="shared" si="7"/>
        <v>67109029.26</v>
      </c>
    </row>
    <row r="215" ht="14.25" customHeight="1">
      <c r="D215" s="3"/>
    </row>
    <row r="216" ht="14.25" customHeight="1">
      <c r="D216" s="3"/>
    </row>
    <row r="217" ht="14.25" customHeight="1">
      <c r="D217" s="3"/>
    </row>
    <row r="218" ht="14.25" customHeight="1">
      <c r="D218" s="3"/>
    </row>
    <row r="219" ht="14.25" customHeight="1">
      <c r="D219" s="3"/>
      <c r="O219" s="31"/>
    </row>
    <row r="220" ht="14.25" customHeight="1">
      <c r="D220" s="3"/>
    </row>
    <row r="221" ht="14.25" customHeight="1">
      <c r="D221" s="3"/>
      <c r="O221" s="17"/>
    </row>
    <row r="222" ht="14.25" customHeight="1">
      <c r="D222" s="3"/>
    </row>
    <row r="223" ht="14.25" customHeight="1">
      <c r="D223" s="3"/>
    </row>
    <row r="224" ht="14.25" customHeight="1">
      <c r="D224" s="3"/>
    </row>
    <row r="225" ht="14.25" customHeight="1">
      <c r="D225" s="3"/>
    </row>
    <row r="226" ht="14.25" customHeight="1">
      <c r="D226" s="3"/>
    </row>
    <row r="227" ht="14.25" customHeight="1">
      <c r="D227" s="3"/>
    </row>
    <row r="228" ht="14.25" customHeight="1">
      <c r="D228" s="3"/>
    </row>
    <row r="229" ht="14.25" customHeight="1">
      <c r="D229" s="3"/>
    </row>
    <row r="230" ht="14.25" customHeight="1">
      <c r="D230" s="3"/>
    </row>
    <row r="231" ht="14.25" customHeight="1">
      <c r="D231" s="3"/>
    </row>
    <row r="232" ht="14.25" customHeight="1">
      <c r="D232" s="3"/>
    </row>
    <row r="233" ht="14.25" customHeight="1">
      <c r="D233" s="3"/>
    </row>
    <row r="234" ht="14.25" customHeight="1">
      <c r="D234" s="3"/>
    </row>
    <row r="235" ht="14.25" customHeight="1">
      <c r="D235" s="3"/>
    </row>
    <row r="236" ht="14.25" customHeight="1">
      <c r="D236" s="3"/>
    </row>
    <row r="237" ht="14.25" customHeight="1">
      <c r="D237" s="3"/>
    </row>
    <row r="238" ht="14.25" customHeight="1">
      <c r="D238" s="3"/>
    </row>
    <row r="239" ht="14.25" customHeight="1">
      <c r="D239" s="3"/>
    </row>
    <row r="240" ht="14.25" customHeight="1">
      <c r="D240" s="3"/>
    </row>
    <row r="241" ht="14.25" customHeight="1">
      <c r="D241" s="3"/>
    </row>
    <row r="242" ht="14.25" customHeight="1">
      <c r="D242" s="3"/>
    </row>
    <row r="243" ht="14.25" customHeight="1">
      <c r="D243" s="3"/>
    </row>
    <row r="244" ht="14.25" customHeight="1">
      <c r="D244" s="3"/>
    </row>
    <row r="245" ht="14.25" customHeight="1">
      <c r="D245" s="3"/>
    </row>
    <row r="246" ht="14.25" customHeight="1">
      <c r="D246" s="3"/>
    </row>
    <row r="247" ht="14.25" customHeight="1">
      <c r="D247" s="3"/>
    </row>
    <row r="248" ht="14.25" customHeight="1">
      <c r="D248" s="3"/>
    </row>
    <row r="249" ht="14.25" customHeight="1">
      <c r="D249" s="3"/>
    </row>
    <row r="250" ht="14.25" customHeight="1">
      <c r="D250" s="3"/>
    </row>
    <row r="251" ht="14.25" customHeight="1">
      <c r="D251" s="3"/>
    </row>
    <row r="252" ht="14.25" customHeight="1">
      <c r="D252" s="3"/>
    </row>
    <row r="253" ht="14.25" customHeight="1">
      <c r="D253" s="3"/>
    </row>
    <row r="254" ht="14.25" customHeight="1">
      <c r="D254" s="3"/>
    </row>
    <row r="255" ht="14.25" customHeight="1">
      <c r="D255" s="3"/>
    </row>
    <row r="256" ht="14.25" customHeight="1">
      <c r="D256" s="3"/>
    </row>
    <row r="257" ht="14.25" customHeight="1">
      <c r="D257" s="3"/>
    </row>
    <row r="258" ht="14.25" customHeight="1">
      <c r="D258" s="3"/>
    </row>
    <row r="259" ht="14.25" customHeight="1">
      <c r="D259" s="3"/>
    </row>
    <row r="260" ht="14.25" customHeight="1">
      <c r="D260" s="3"/>
    </row>
    <row r="261" ht="14.25" customHeight="1">
      <c r="D261" s="3"/>
    </row>
    <row r="262" ht="14.25" customHeight="1">
      <c r="D262" s="3"/>
    </row>
    <row r="263" ht="14.25" customHeight="1">
      <c r="D263" s="3"/>
    </row>
    <row r="264" ht="14.25" customHeight="1">
      <c r="D264" s="3"/>
    </row>
    <row r="265" ht="14.25" customHeight="1">
      <c r="D265" s="3"/>
    </row>
    <row r="266" ht="14.25" customHeight="1">
      <c r="D266" s="3"/>
    </row>
    <row r="267" ht="14.25" customHeight="1">
      <c r="D267" s="3"/>
    </row>
    <row r="268" ht="14.25" customHeight="1">
      <c r="D268" s="3"/>
    </row>
    <row r="269" ht="14.25" customHeight="1">
      <c r="D269" s="3"/>
    </row>
    <row r="270" ht="14.25" customHeight="1">
      <c r="D270" s="3"/>
    </row>
    <row r="271" ht="14.25" customHeight="1">
      <c r="D271" s="3"/>
    </row>
    <row r="272" ht="14.25" customHeight="1">
      <c r="D272" s="3"/>
    </row>
    <row r="273" ht="14.25" customHeight="1">
      <c r="D273" s="3"/>
    </row>
    <row r="274" ht="14.25" customHeight="1">
      <c r="D274" s="3"/>
    </row>
    <row r="275" ht="14.25" customHeight="1">
      <c r="D275" s="3"/>
    </row>
    <row r="276" ht="14.25" customHeight="1">
      <c r="D276" s="3"/>
    </row>
    <row r="277" ht="14.25" customHeight="1">
      <c r="D277" s="3"/>
    </row>
    <row r="278" ht="14.25" customHeight="1">
      <c r="D278" s="3"/>
    </row>
    <row r="279" ht="14.25" customHeight="1">
      <c r="D279" s="3"/>
    </row>
    <row r="280" ht="14.25" customHeight="1">
      <c r="D280" s="3"/>
    </row>
    <row r="281" ht="14.25" customHeight="1">
      <c r="D281" s="3"/>
    </row>
    <row r="282" ht="14.25" customHeight="1">
      <c r="D282" s="3"/>
    </row>
    <row r="283" ht="14.25" customHeight="1">
      <c r="D283" s="3"/>
    </row>
    <row r="284" ht="14.25" customHeight="1">
      <c r="D284" s="3"/>
    </row>
    <row r="285" ht="14.25" customHeight="1">
      <c r="D285" s="3"/>
    </row>
    <row r="286" ht="14.25" customHeight="1">
      <c r="D286" s="3"/>
    </row>
    <row r="287" ht="14.25" customHeight="1">
      <c r="D287" s="3"/>
    </row>
    <row r="288" ht="14.25" customHeight="1">
      <c r="D288" s="3"/>
    </row>
    <row r="289" ht="14.25" customHeight="1">
      <c r="D289" s="3"/>
    </row>
    <row r="290" ht="14.25" customHeight="1">
      <c r="D290" s="3"/>
    </row>
    <row r="291" ht="14.25" customHeight="1">
      <c r="D291" s="3"/>
    </row>
    <row r="292" ht="14.25" customHeight="1">
      <c r="D292" s="3"/>
    </row>
    <row r="293" ht="14.25" customHeight="1">
      <c r="D293" s="3"/>
    </row>
    <row r="294" ht="14.25" customHeight="1">
      <c r="D294" s="3"/>
    </row>
    <row r="295" ht="14.25" customHeight="1">
      <c r="D295" s="3"/>
    </row>
    <row r="296" ht="14.25" customHeight="1">
      <c r="D296" s="3"/>
    </row>
    <row r="297" ht="14.25" customHeight="1">
      <c r="D297" s="3"/>
    </row>
    <row r="298" ht="14.25" customHeight="1">
      <c r="D298" s="3"/>
    </row>
    <row r="299" ht="14.25" customHeight="1">
      <c r="D299" s="3"/>
    </row>
    <row r="300" ht="14.25" customHeight="1">
      <c r="D300" s="3"/>
    </row>
    <row r="301" ht="14.25" customHeight="1">
      <c r="D301" s="3"/>
    </row>
    <row r="302" ht="14.25" customHeight="1">
      <c r="D302" s="3"/>
    </row>
    <row r="303" ht="14.25" customHeight="1">
      <c r="D303" s="3"/>
    </row>
    <row r="304" ht="14.25" customHeight="1">
      <c r="D304" s="3"/>
    </row>
    <row r="305" ht="14.25" customHeight="1">
      <c r="D305" s="3"/>
    </row>
    <row r="306" ht="14.25" customHeight="1">
      <c r="D306" s="3"/>
    </row>
    <row r="307" ht="14.25" customHeight="1">
      <c r="D307" s="3"/>
    </row>
    <row r="308" ht="14.25" customHeight="1">
      <c r="D308" s="3"/>
    </row>
    <row r="309" ht="14.25" customHeight="1">
      <c r="D309" s="3"/>
    </row>
    <row r="310" ht="14.25" customHeight="1">
      <c r="D310" s="3"/>
    </row>
    <row r="311" ht="14.25" customHeight="1">
      <c r="D311" s="3"/>
    </row>
    <row r="312" ht="14.25" customHeight="1">
      <c r="D312" s="3"/>
    </row>
    <row r="313" ht="14.25" customHeight="1">
      <c r="D313" s="3"/>
    </row>
    <row r="314" ht="14.25" customHeight="1">
      <c r="D314" s="3"/>
    </row>
    <row r="315" ht="14.25" customHeight="1">
      <c r="D315" s="3"/>
    </row>
    <row r="316" ht="14.25" customHeight="1">
      <c r="D316" s="3"/>
    </row>
    <row r="317" ht="14.25" customHeight="1">
      <c r="D317" s="3"/>
    </row>
    <row r="318" ht="14.25" customHeight="1">
      <c r="D318" s="3"/>
    </row>
    <row r="319" ht="14.25" customHeight="1">
      <c r="D319" s="3"/>
    </row>
    <row r="320" ht="14.25" customHeight="1">
      <c r="D320" s="3"/>
    </row>
    <row r="321" ht="14.25" customHeight="1">
      <c r="D321" s="3"/>
    </row>
    <row r="322" ht="14.25" customHeight="1">
      <c r="D322" s="3"/>
    </row>
    <row r="323" ht="14.25" customHeight="1">
      <c r="D323" s="3"/>
    </row>
    <row r="324" ht="14.25" customHeight="1">
      <c r="D324" s="3"/>
    </row>
    <row r="325" ht="14.25" customHeight="1">
      <c r="D325" s="3"/>
    </row>
    <row r="326" ht="14.25" customHeight="1">
      <c r="D326" s="3"/>
    </row>
    <row r="327" ht="14.25" customHeight="1">
      <c r="D327" s="3"/>
    </row>
    <row r="328" ht="14.25" customHeight="1">
      <c r="D328" s="3"/>
    </row>
    <row r="329" ht="14.25" customHeight="1">
      <c r="D329" s="3"/>
    </row>
    <row r="330" ht="14.25" customHeight="1">
      <c r="D330" s="3"/>
    </row>
    <row r="331" ht="14.25" customHeight="1">
      <c r="D331" s="3"/>
    </row>
    <row r="332" ht="14.25" customHeight="1">
      <c r="D332" s="3"/>
    </row>
    <row r="333" ht="14.25" customHeight="1">
      <c r="D333" s="3"/>
    </row>
    <row r="334" ht="14.25" customHeight="1">
      <c r="D334" s="3"/>
    </row>
    <row r="335" ht="14.25" customHeight="1">
      <c r="D335" s="3"/>
    </row>
    <row r="336" ht="14.25" customHeight="1">
      <c r="D336" s="3"/>
    </row>
    <row r="337" ht="14.25" customHeight="1">
      <c r="D337" s="3"/>
    </row>
    <row r="338" ht="14.25" customHeight="1">
      <c r="D338" s="3"/>
    </row>
    <row r="339" ht="14.25" customHeight="1">
      <c r="D339" s="3"/>
    </row>
    <row r="340" ht="14.25" customHeight="1">
      <c r="D340" s="3"/>
    </row>
    <row r="341" ht="14.25" customHeight="1">
      <c r="D341" s="3"/>
    </row>
    <row r="342" ht="14.25" customHeight="1">
      <c r="D342" s="3"/>
    </row>
    <row r="343" ht="14.25" customHeight="1">
      <c r="D343" s="3"/>
    </row>
    <row r="344" ht="14.25" customHeight="1">
      <c r="D344" s="3"/>
    </row>
    <row r="345" ht="14.25" customHeight="1">
      <c r="D345" s="3"/>
    </row>
    <row r="346" ht="14.25" customHeight="1">
      <c r="D346" s="3"/>
    </row>
    <row r="347" ht="14.25" customHeight="1">
      <c r="D347" s="3"/>
    </row>
    <row r="348" ht="14.25" customHeight="1">
      <c r="D348" s="3"/>
    </row>
    <row r="349" ht="14.25" customHeight="1">
      <c r="D349" s="3"/>
    </row>
    <row r="350" ht="14.25" customHeight="1">
      <c r="D350" s="3"/>
    </row>
    <row r="351" ht="14.25" customHeight="1">
      <c r="D351" s="3"/>
    </row>
    <row r="352" ht="14.25" customHeight="1">
      <c r="D352" s="3"/>
    </row>
    <row r="353" ht="14.25" customHeight="1">
      <c r="D353" s="3"/>
    </row>
    <row r="354" ht="14.25" customHeight="1">
      <c r="D354" s="3"/>
    </row>
    <row r="355" ht="14.25" customHeight="1">
      <c r="D355" s="3"/>
    </row>
    <row r="356" ht="14.25" customHeight="1">
      <c r="D356" s="3"/>
    </row>
    <row r="357" ht="14.25" customHeight="1">
      <c r="D357" s="3"/>
    </row>
    <row r="358" ht="14.25" customHeight="1">
      <c r="D358" s="3"/>
    </row>
    <row r="359" ht="14.25" customHeight="1">
      <c r="D359" s="3"/>
    </row>
    <row r="360" ht="14.25" customHeight="1">
      <c r="D360" s="3"/>
    </row>
    <row r="361" ht="14.25" customHeight="1">
      <c r="D361" s="3"/>
    </row>
    <row r="362" ht="14.25" customHeight="1">
      <c r="D362" s="3"/>
    </row>
    <row r="363" ht="14.25" customHeight="1">
      <c r="D363" s="3"/>
    </row>
    <row r="364" ht="14.25" customHeight="1">
      <c r="D364" s="3"/>
    </row>
    <row r="365" ht="14.25" customHeight="1">
      <c r="D365" s="3"/>
    </row>
    <row r="366" ht="14.25" customHeight="1">
      <c r="D366" s="3"/>
    </row>
    <row r="367" ht="14.25" customHeight="1">
      <c r="D367" s="3"/>
    </row>
    <row r="368" ht="14.25" customHeight="1">
      <c r="D368" s="3"/>
    </row>
    <row r="369" ht="14.25" customHeight="1">
      <c r="D369" s="3"/>
    </row>
    <row r="370" ht="14.25" customHeight="1">
      <c r="D370" s="3"/>
    </row>
    <row r="371" ht="14.25" customHeight="1">
      <c r="D371" s="3"/>
    </row>
    <row r="372" ht="14.25" customHeight="1">
      <c r="D372" s="3"/>
    </row>
    <row r="373" ht="14.25" customHeight="1">
      <c r="D373" s="3"/>
    </row>
    <row r="374" ht="14.25" customHeight="1">
      <c r="D374" s="3"/>
    </row>
    <row r="375" ht="14.25" customHeight="1">
      <c r="D375" s="3"/>
    </row>
    <row r="376" ht="14.25" customHeight="1">
      <c r="D376" s="3"/>
    </row>
    <row r="377" ht="14.25" customHeight="1">
      <c r="D377" s="3"/>
    </row>
    <row r="378" ht="14.25" customHeight="1">
      <c r="D378" s="3"/>
    </row>
    <row r="379" ht="14.25" customHeight="1">
      <c r="D379" s="3"/>
    </row>
    <row r="380" ht="14.25" customHeight="1">
      <c r="D380" s="3"/>
    </row>
    <row r="381" ht="14.25" customHeight="1">
      <c r="D381" s="3"/>
    </row>
    <row r="382" ht="14.25" customHeight="1">
      <c r="D382" s="3"/>
    </row>
    <row r="383" ht="14.25" customHeight="1">
      <c r="D383" s="3"/>
    </row>
    <row r="384" ht="14.25" customHeight="1">
      <c r="D384" s="3"/>
    </row>
    <row r="385" ht="14.25" customHeight="1">
      <c r="D385" s="3"/>
    </row>
    <row r="386" ht="14.25" customHeight="1">
      <c r="D386" s="3"/>
    </row>
    <row r="387" ht="14.25" customHeight="1">
      <c r="D387" s="3"/>
    </row>
    <row r="388" ht="14.25" customHeight="1">
      <c r="D388" s="3"/>
    </row>
    <row r="389" ht="14.25" customHeight="1">
      <c r="D389" s="3"/>
    </row>
    <row r="390" ht="14.25" customHeight="1">
      <c r="D390" s="3"/>
    </row>
    <row r="391" ht="14.25" customHeight="1">
      <c r="D391" s="3"/>
    </row>
    <row r="392" ht="14.25" customHeight="1">
      <c r="D392" s="3"/>
    </row>
    <row r="393" ht="14.25" customHeight="1">
      <c r="D393" s="3"/>
    </row>
    <row r="394" ht="14.25" customHeight="1">
      <c r="D394" s="3"/>
    </row>
    <row r="395" ht="14.25" customHeight="1">
      <c r="D395" s="3"/>
    </row>
    <row r="396" ht="14.25" customHeight="1">
      <c r="D396" s="3"/>
    </row>
    <row r="397" ht="14.25" customHeight="1">
      <c r="D397" s="3"/>
    </row>
    <row r="398" ht="14.25" customHeight="1">
      <c r="D398" s="3"/>
    </row>
    <row r="399" ht="14.25" customHeight="1">
      <c r="D399" s="3"/>
    </row>
    <row r="400" ht="14.25" customHeight="1">
      <c r="D400" s="3"/>
    </row>
    <row r="401" ht="14.25" customHeight="1">
      <c r="D401" s="3"/>
    </row>
    <row r="402" ht="14.25" customHeight="1">
      <c r="D402" s="3"/>
    </row>
    <row r="403" ht="14.25" customHeight="1">
      <c r="D403" s="3"/>
    </row>
    <row r="404" ht="14.25" customHeight="1">
      <c r="D404" s="3"/>
    </row>
    <row r="405" ht="14.25" customHeight="1">
      <c r="D405" s="3"/>
    </row>
    <row r="406" ht="14.25" customHeight="1">
      <c r="D406" s="3"/>
    </row>
    <row r="407" ht="14.25" customHeight="1">
      <c r="D407" s="3"/>
    </row>
    <row r="408" ht="14.25" customHeight="1">
      <c r="D408" s="3"/>
    </row>
    <row r="409" ht="14.25" customHeight="1">
      <c r="D409" s="3"/>
    </row>
    <row r="410" ht="14.25" customHeight="1">
      <c r="D410" s="3"/>
    </row>
    <row r="411" ht="14.25" customHeight="1">
      <c r="D411" s="3"/>
    </row>
    <row r="412" ht="14.25" customHeight="1">
      <c r="D412" s="3"/>
    </row>
    <row r="413" ht="14.25" customHeight="1">
      <c r="D413" s="3"/>
    </row>
    <row r="414" ht="14.25" customHeight="1">
      <c r="D414" s="3"/>
    </row>
    <row r="415" ht="14.25" customHeight="1">
      <c r="D415" s="3"/>
    </row>
    <row r="416" ht="14.25" customHeight="1">
      <c r="D416" s="3"/>
    </row>
    <row r="417" ht="14.25" customHeight="1">
      <c r="D417" s="3"/>
    </row>
    <row r="418" ht="14.25" customHeight="1">
      <c r="D418" s="3"/>
    </row>
    <row r="419" ht="14.25" customHeight="1">
      <c r="D419" s="3"/>
    </row>
    <row r="420" ht="14.25" customHeight="1">
      <c r="D420" s="3"/>
    </row>
    <row r="421" ht="14.25" customHeight="1">
      <c r="D421" s="3"/>
    </row>
    <row r="422" ht="14.25" customHeight="1">
      <c r="D422" s="3"/>
    </row>
    <row r="423" ht="14.25" customHeight="1">
      <c r="D423" s="3"/>
    </row>
    <row r="424" ht="14.25" customHeight="1">
      <c r="D424" s="3"/>
    </row>
    <row r="425" ht="14.25" customHeight="1">
      <c r="D425" s="3"/>
    </row>
    <row r="426" ht="14.25" customHeight="1">
      <c r="D426" s="3"/>
    </row>
    <row r="427" ht="14.25" customHeight="1">
      <c r="D427" s="3"/>
    </row>
    <row r="428" ht="14.25" customHeight="1">
      <c r="D428" s="3"/>
    </row>
    <row r="429" ht="14.25" customHeight="1">
      <c r="D429" s="3"/>
    </row>
    <row r="430" ht="14.25" customHeight="1">
      <c r="D430" s="3"/>
    </row>
    <row r="431" ht="14.25" customHeight="1">
      <c r="D431" s="3"/>
    </row>
    <row r="432" ht="14.25" customHeight="1">
      <c r="D432" s="3"/>
    </row>
    <row r="433" ht="14.25" customHeight="1">
      <c r="D433" s="3"/>
    </row>
    <row r="434" ht="14.25" customHeight="1">
      <c r="D434" s="3"/>
    </row>
    <row r="435" ht="14.25" customHeight="1">
      <c r="D435" s="3"/>
    </row>
    <row r="436" ht="14.25" customHeight="1">
      <c r="D436" s="3"/>
    </row>
    <row r="437" ht="14.25" customHeight="1">
      <c r="D437" s="3"/>
    </row>
    <row r="438" ht="14.25" customHeight="1">
      <c r="D438" s="3"/>
    </row>
    <row r="439" ht="14.25" customHeight="1">
      <c r="D439" s="3"/>
    </row>
    <row r="440" ht="14.25" customHeight="1">
      <c r="D440" s="3"/>
    </row>
    <row r="441" ht="14.25" customHeight="1">
      <c r="D441" s="3"/>
    </row>
    <row r="442" ht="14.25" customHeight="1">
      <c r="D442" s="3"/>
    </row>
    <row r="443" ht="14.25" customHeight="1">
      <c r="D443" s="3"/>
    </row>
    <row r="444" ht="14.25" customHeight="1">
      <c r="D444" s="3"/>
    </row>
    <row r="445" ht="14.25" customHeight="1">
      <c r="D445" s="3"/>
    </row>
    <row r="446" ht="14.25" customHeight="1">
      <c r="D446" s="3"/>
    </row>
    <row r="447" ht="14.25" customHeight="1">
      <c r="D447" s="3"/>
    </row>
    <row r="448" ht="14.25" customHeight="1">
      <c r="D448" s="3"/>
    </row>
    <row r="449" ht="14.25" customHeight="1">
      <c r="D449" s="3"/>
    </row>
    <row r="450" ht="14.25" customHeight="1">
      <c r="D450" s="3"/>
    </row>
    <row r="451" ht="14.25" customHeight="1">
      <c r="D451" s="3"/>
    </row>
    <row r="452" ht="14.25" customHeight="1">
      <c r="D452" s="3"/>
    </row>
    <row r="453" ht="14.25" customHeight="1">
      <c r="D453" s="3"/>
    </row>
    <row r="454" ht="14.25" customHeight="1">
      <c r="D454" s="3"/>
    </row>
    <row r="455" ht="14.25" customHeight="1">
      <c r="D455" s="3"/>
    </row>
    <row r="456" ht="14.25" customHeight="1">
      <c r="D456" s="3"/>
    </row>
    <row r="457" ht="14.25" customHeight="1">
      <c r="D457" s="3"/>
    </row>
    <row r="458" ht="14.25" customHeight="1">
      <c r="D458" s="3"/>
    </row>
    <row r="459" ht="14.25" customHeight="1">
      <c r="D459" s="3"/>
    </row>
    <row r="460" ht="14.25" customHeight="1">
      <c r="D460" s="3"/>
    </row>
    <row r="461" ht="14.25" customHeight="1">
      <c r="D461" s="3"/>
    </row>
    <row r="462" ht="14.25" customHeight="1">
      <c r="D462" s="3"/>
    </row>
    <row r="463" ht="14.25" customHeight="1">
      <c r="D463" s="3"/>
    </row>
    <row r="464" ht="14.25" customHeight="1">
      <c r="D464" s="3"/>
    </row>
    <row r="465" ht="14.25" customHeight="1">
      <c r="D465" s="3"/>
    </row>
    <row r="466" ht="14.25" customHeight="1">
      <c r="D466" s="3"/>
    </row>
    <row r="467" ht="14.25" customHeight="1">
      <c r="D467" s="3"/>
    </row>
    <row r="468" ht="14.25" customHeight="1">
      <c r="D468" s="3"/>
    </row>
    <row r="469" ht="14.25" customHeight="1">
      <c r="D469" s="3"/>
    </row>
    <row r="470" ht="14.25" customHeight="1">
      <c r="D470" s="3"/>
    </row>
    <row r="471" ht="14.25" customHeight="1">
      <c r="D471" s="3"/>
    </row>
    <row r="472" ht="14.25" customHeight="1">
      <c r="D472" s="3"/>
    </row>
    <row r="473" ht="14.25" customHeight="1">
      <c r="D473" s="3"/>
    </row>
    <row r="474" ht="14.25" customHeight="1">
      <c r="D474" s="3"/>
    </row>
    <row r="475" ht="14.25" customHeight="1">
      <c r="D475" s="3"/>
    </row>
    <row r="476" ht="14.25" customHeight="1">
      <c r="D476" s="3"/>
    </row>
    <row r="477" ht="14.25" customHeight="1">
      <c r="D477" s="3"/>
    </row>
    <row r="478" ht="14.25" customHeight="1">
      <c r="D478" s="3"/>
    </row>
    <row r="479" ht="14.25" customHeight="1">
      <c r="D479" s="3"/>
    </row>
    <row r="480" ht="14.25" customHeight="1">
      <c r="D480" s="3"/>
    </row>
    <row r="481" ht="14.25" customHeight="1">
      <c r="D481" s="3"/>
    </row>
    <row r="482" ht="14.25" customHeight="1">
      <c r="D482" s="3"/>
    </row>
    <row r="483" ht="14.25" customHeight="1">
      <c r="D483" s="3"/>
    </row>
    <row r="484" ht="14.25" customHeight="1">
      <c r="D484" s="3"/>
    </row>
    <row r="485" ht="14.25" customHeight="1">
      <c r="D485" s="3"/>
    </row>
    <row r="486" ht="14.25" customHeight="1">
      <c r="D486" s="3"/>
    </row>
    <row r="487" ht="14.25" customHeight="1">
      <c r="D487" s="3"/>
    </row>
    <row r="488" ht="14.25" customHeight="1">
      <c r="D488" s="3"/>
    </row>
    <row r="489" ht="14.25" customHeight="1">
      <c r="D489" s="3"/>
    </row>
    <row r="490" ht="14.25" customHeight="1">
      <c r="D490" s="3"/>
    </row>
    <row r="491" ht="14.25" customHeight="1">
      <c r="D491" s="3"/>
    </row>
    <row r="492" ht="14.25" customHeight="1">
      <c r="D492" s="3"/>
    </row>
    <row r="493" ht="14.25" customHeight="1">
      <c r="D493" s="3"/>
    </row>
    <row r="494" ht="14.25" customHeight="1">
      <c r="D494" s="3"/>
    </row>
    <row r="495" ht="14.25" customHeight="1">
      <c r="D495" s="3"/>
    </row>
    <row r="496" ht="14.25" customHeight="1">
      <c r="D496" s="3"/>
    </row>
    <row r="497" ht="14.25" customHeight="1">
      <c r="D497" s="3"/>
    </row>
    <row r="498" ht="14.25" customHeight="1">
      <c r="D498" s="3"/>
    </row>
    <row r="499" ht="14.25" customHeight="1">
      <c r="D499" s="3"/>
    </row>
    <row r="500" ht="14.25" customHeight="1">
      <c r="D500" s="3"/>
    </row>
    <row r="501" ht="14.25" customHeight="1">
      <c r="D501" s="3"/>
    </row>
    <row r="502" ht="14.25" customHeight="1">
      <c r="D502" s="3"/>
    </row>
    <row r="503" ht="14.25" customHeight="1">
      <c r="D503" s="3"/>
    </row>
    <row r="504" ht="14.25" customHeight="1">
      <c r="D504" s="3"/>
    </row>
    <row r="505" ht="14.25" customHeight="1">
      <c r="D505" s="3"/>
    </row>
    <row r="506" ht="14.25" customHeight="1">
      <c r="D506" s="3"/>
    </row>
    <row r="507" ht="14.25" customHeight="1">
      <c r="D507" s="3"/>
    </row>
    <row r="508" ht="14.25" customHeight="1">
      <c r="D508" s="3"/>
    </row>
    <row r="509" ht="14.25" customHeight="1">
      <c r="D509" s="3"/>
    </row>
    <row r="510" ht="14.25" customHeight="1">
      <c r="D510" s="3"/>
    </row>
    <row r="511" ht="14.25" customHeight="1">
      <c r="D511" s="3"/>
    </row>
    <row r="512" ht="14.25" customHeight="1">
      <c r="D512" s="3"/>
    </row>
    <row r="513" ht="14.25" customHeight="1">
      <c r="D513" s="3"/>
    </row>
    <row r="514" ht="14.25" customHeight="1">
      <c r="D514" s="3"/>
    </row>
    <row r="515" ht="14.25" customHeight="1">
      <c r="D515" s="3"/>
    </row>
    <row r="516" ht="14.25" customHeight="1">
      <c r="D516" s="3"/>
    </row>
    <row r="517" ht="14.25" customHeight="1">
      <c r="D517" s="3"/>
    </row>
    <row r="518" ht="14.25" customHeight="1">
      <c r="D518" s="3"/>
    </row>
    <row r="519" ht="14.25" customHeight="1">
      <c r="D519" s="3"/>
    </row>
    <row r="520" ht="14.25" customHeight="1">
      <c r="D520" s="3"/>
    </row>
    <row r="521" ht="14.25" customHeight="1">
      <c r="D521" s="3"/>
    </row>
    <row r="522" ht="14.25" customHeight="1">
      <c r="D522" s="3"/>
    </row>
    <row r="523" ht="14.25" customHeight="1">
      <c r="D523" s="3"/>
    </row>
    <row r="524" ht="14.25" customHeight="1">
      <c r="D524" s="3"/>
    </row>
    <row r="525" ht="14.25" customHeight="1">
      <c r="D525" s="3"/>
    </row>
    <row r="526" ht="14.25" customHeight="1">
      <c r="D526" s="3"/>
    </row>
    <row r="527" ht="14.25" customHeight="1">
      <c r="D527" s="3"/>
    </row>
    <row r="528" ht="14.25" customHeight="1">
      <c r="D528" s="3"/>
    </row>
    <row r="529" ht="14.25" customHeight="1">
      <c r="D529" s="3"/>
    </row>
    <row r="530" ht="14.25" customHeight="1">
      <c r="D530" s="3"/>
    </row>
    <row r="531" ht="14.25" customHeight="1">
      <c r="D531" s="3"/>
    </row>
    <row r="532" ht="14.25" customHeight="1">
      <c r="D532" s="3"/>
    </row>
    <row r="533" ht="14.25" customHeight="1">
      <c r="D533" s="3"/>
    </row>
    <row r="534" ht="14.25" customHeight="1">
      <c r="D534" s="3"/>
    </row>
    <row r="535" ht="14.25" customHeight="1">
      <c r="D535" s="3"/>
    </row>
    <row r="536" ht="14.25" customHeight="1">
      <c r="D536" s="3"/>
    </row>
    <row r="537" ht="14.25" customHeight="1">
      <c r="D537" s="3"/>
    </row>
    <row r="538" ht="14.25" customHeight="1">
      <c r="D538" s="3"/>
    </row>
    <row r="539" ht="14.25" customHeight="1">
      <c r="D539" s="3"/>
    </row>
    <row r="540" ht="14.25" customHeight="1">
      <c r="D540" s="3"/>
    </row>
    <row r="541" ht="14.25" customHeight="1">
      <c r="D541" s="3"/>
    </row>
    <row r="542" ht="14.25" customHeight="1">
      <c r="D542" s="3"/>
    </row>
    <row r="543" ht="14.25" customHeight="1">
      <c r="D543" s="3"/>
    </row>
    <row r="544" ht="14.25" customHeight="1">
      <c r="D544" s="3"/>
    </row>
    <row r="545" ht="14.25" customHeight="1">
      <c r="D545" s="3"/>
    </row>
    <row r="546" ht="14.25" customHeight="1">
      <c r="D546" s="3"/>
    </row>
    <row r="547" ht="14.25" customHeight="1">
      <c r="D547" s="3"/>
    </row>
    <row r="548" ht="14.25" customHeight="1">
      <c r="D548" s="3"/>
    </row>
    <row r="549" ht="14.25" customHeight="1">
      <c r="D549" s="3"/>
    </row>
    <row r="550" ht="14.25" customHeight="1">
      <c r="D550" s="3"/>
    </row>
    <row r="551" ht="14.25" customHeight="1">
      <c r="D551" s="3"/>
    </row>
    <row r="552" ht="14.25" customHeight="1">
      <c r="D552" s="3"/>
    </row>
    <row r="553" ht="14.25" customHeight="1">
      <c r="D553" s="3"/>
    </row>
    <row r="554" ht="14.25" customHeight="1">
      <c r="D554" s="3"/>
    </row>
    <row r="555" ht="14.25" customHeight="1">
      <c r="D555" s="3"/>
    </row>
    <row r="556" ht="14.25" customHeight="1">
      <c r="D556" s="3"/>
    </row>
    <row r="557" ht="14.25" customHeight="1">
      <c r="D557" s="3"/>
    </row>
    <row r="558" ht="14.25" customHeight="1">
      <c r="D558" s="3"/>
    </row>
    <row r="559" ht="14.25" customHeight="1">
      <c r="D559" s="3"/>
    </row>
    <row r="560" ht="14.25" customHeight="1">
      <c r="D560" s="3"/>
    </row>
    <row r="561" ht="14.25" customHeight="1">
      <c r="D561" s="3"/>
    </row>
    <row r="562" ht="14.25" customHeight="1">
      <c r="D562" s="3"/>
    </row>
    <row r="563" ht="14.25" customHeight="1">
      <c r="D563" s="3"/>
    </row>
    <row r="564" ht="14.25" customHeight="1">
      <c r="D564" s="3"/>
    </row>
    <row r="565" ht="14.25" customHeight="1">
      <c r="D565" s="3"/>
    </row>
    <row r="566" ht="14.25" customHeight="1">
      <c r="D566" s="3"/>
    </row>
    <row r="567" ht="14.25" customHeight="1">
      <c r="D567" s="3"/>
    </row>
    <row r="568" ht="14.25" customHeight="1">
      <c r="D568" s="3"/>
    </row>
    <row r="569" ht="14.25" customHeight="1">
      <c r="D569" s="3"/>
    </row>
    <row r="570" ht="14.25" customHeight="1">
      <c r="D570" s="3"/>
    </row>
    <row r="571" ht="14.25" customHeight="1">
      <c r="D571" s="3"/>
    </row>
    <row r="572" ht="14.25" customHeight="1">
      <c r="D572" s="3"/>
    </row>
    <row r="573" ht="14.25" customHeight="1">
      <c r="D573" s="3"/>
    </row>
    <row r="574" ht="14.25" customHeight="1">
      <c r="D574" s="3"/>
    </row>
    <row r="575" ht="14.25" customHeight="1">
      <c r="D575" s="3"/>
    </row>
    <row r="576" ht="14.25" customHeight="1">
      <c r="D576" s="3"/>
    </row>
    <row r="577" ht="14.25" customHeight="1">
      <c r="D577" s="3"/>
    </row>
    <row r="578" ht="14.25" customHeight="1">
      <c r="D578" s="3"/>
    </row>
    <row r="579" ht="14.25" customHeight="1">
      <c r="D579" s="3"/>
    </row>
    <row r="580" ht="14.25" customHeight="1">
      <c r="D580" s="3"/>
    </row>
    <row r="581" ht="14.25" customHeight="1">
      <c r="D581" s="3"/>
    </row>
    <row r="582" ht="14.25" customHeight="1">
      <c r="D582" s="3"/>
    </row>
    <row r="583" ht="14.25" customHeight="1">
      <c r="D583" s="3"/>
    </row>
    <row r="584" ht="14.25" customHeight="1">
      <c r="D584" s="3"/>
    </row>
    <row r="585" ht="14.25" customHeight="1">
      <c r="D585" s="3"/>
    </row>
    <row r="586" ht="14.25" customHeight="1">
      <c r="D586" s="3"/>
    </row>
    <row r="587" ht="14.25" customHeight="1">
      <c r="D587" s="3"/>
    </row>
    <row r="588" ht="14.25" customHeight="1">
      <c r="D588" s="3"/>
    </row>
    <row r="589" ht="14.25" customHeight="1">
      <c r="D589" s="3"/>
    </row>
    <row r="590" ht="14.25" customHeight="1">
      <c r="D590" s="3"/>
    </row>
    <row r="591" ht="14.25" customHeight="1">
      <c r="D591" s="3"/>
    </row>
    <row r="592" ht="14.25" customHeight="1">
      <c r="D592" s="3"/>
    </row>
    <row r="593" ht="14.25" customHeight="1">
      <c r="D593" s="3"/>
    </row>
    <row r="594" ht="14.25" customHeight="1">
      <c r="D594" s="3"/>
    </row>
    <row r="595" ht="14.25" customHeight="1">
      <c r="D595" s="3"/>
    </row>
    <row r="596" ht="14.25" customHeight="1">
      <c r="D596" s="3"/>
    </row>
    <row r="597" ht="14.25" customHeight="1">
      <c r="D597" s="3"/>
    </row>
    <row r="598" ht="14.25" customHeight="1">
      <c r="D598" s="3"/>
    </row>
    <row r="599" ht="14.25" customHeight="1">
      <c r="D599" s="3"/>
    </row>
    <row r="600" ht="14.25" customHeight="1">
      <c r="D600" s="3"/>
    </row>
    <row r="601" ht="14.25" customHeight="1">
      <c r="D601" s="3"/>
    </row>
    <row r="602" ht="14.25" customHeight="1">
      <c r="D602" s="3"/>
    </row>
    <row r="603" ht="14.25" customHeight="1">
      <c r="D603" s="3"/>
    </row>
    <row r="604" ht="14.25" customHeight="1">
      <c r="D604" s="3"/>
    </row>
    <row r="605" ht="14.25" customHeight="1">
      <c r="D605" s="3"/>
    </row>
    <row r="606" ht="14.25" customHeight="1">
      <c r="D606" s="3"/>
    </row>
    <row r="607" ht="14.25" customHeight="1">
      <c r="D607" s="3"/>
    </row>
    <row r="608" ht="14.25" customHeight="1">
      <c r="D608" s="3"/>
    </row>
    <row r="609" ht="14.25" customHeight="1">
      <c r="D609" s="3"/>
    </row>
    <row r="610" ht="14.25" customHeight="1">
      <c r="D610" s="3"/>
    </row>
    <row r="611" ht="14.25" customHeight="1">
      <c r="D611" s="3"/>
    </row>
    <row r="612" ht="14.25" customHeight="1">
      <c r="D612" s="3"/>
    </row>
    <row r="613" ht="14.25" customHeight="1">
      <c r="D613" s="3"/>
    </row>
    <row r="614" ht="14.25" customHeight="1">
      <c r="D614" s="3"/>
    </row>
    <row r="615" ht="14.25" customHeight="1">
      <c r="D615" s="3"/>
    </row>
    <row r="616" ht="14.25" customHeight="1">
      <c r="D616" s="3"/>
    </row>
    <row r="617" ht="14.25" customHeight="1">
      <c r="D617" s="3"/>
    </row>
    <row r="618" ht="14.25" customHeight="1">
      <c r="D618" s="3"/>
    </row>
    <row r="619" ht="14.25" customHeight="1">
      <c r="D619" s="3"/>
    </row>
    <row r="620" ht="14.25" customHeight="1">
      <c r="D620" s="3"/>
    </row>
    <row r="621" ht="14.25" customHeight="1">
      <c r="D621" s="3"/>
    </row>
    <row r="622" ht="14.25" customHeight="1">
      <c r="D622" s="3"/>
    </row>
    <row r="623" ht="14.25" customHeight="1">
      <c r="D623" s="3"/>
    </row>
    <row r="624" ht="14.25" customHeight="1">
      <c r="D624" s="3"/>
    </row>
    <row r="625" ht="14.25" customHeight="1">
      <c r="D625" s="3"/>
    </row>
    <row r="626" ht="14.25" customHeight="1">
      <c r="D626" s="3"/>
    </row>
    <row r="627" ht="14.25" customHeight="1">
      <c r="D627" s="3"/>
    </row>
    <row r="628" ht="14.25" customHeight="1">
      <c r="D628" s="3"/>
    </row>
    <row r="629" ht="14.25" customHeight="1">
      <c r="D629" s="3"/>
    </row>
    <row r="630" ht="14.25" customHeight="1">
      <c r="D630" s="3"/>
    </row>
    <row r="631" ht="14.25" customHeight="1">
      <c r="D631" s="3"/>
    </row>
    <row r="632" ht="14.25" customHeight="1">
      <c r="D632" s="3"/>
    </row>
    <row r="633" ht="14.25" customHeight="1">
      <c r="D633" s="3"/>
    </row>
    <row r="634" ht="14.25" customHeight="1">
      <c r="D634" s="3"/>
    </row>
    <row r="635" ht="14.25" customHeight="1">
      <c r="D635" s="3"/>
    </row>
    <row r="636" ht="14.25" customHeight="1">
      <c r="D636" s="3"/>
    </row>
    <row r="637" ht="14.25" customHeight="1">
      <c r="D637" s="3"/>
    </row>
    <row r="638" ht="14.25" customHeight="1">
      <c r="D638" s="3"/>
    </row>
    <row r="639" ht="14.25" customHeight="1">
      <c r="D639" s="3"/>
    </row>
    <row r="640" ht="14.25" customHeight="1">
      <c r="D640" s="3"/>
    </row>
    <row r="641" ht="14.25" customHeight="1">
      <c r="D641" s="3"/>
    </row>
    <row r="642" ht="14.25" customHeight="1">
      <c r="D642" s="3"/>
    </row>
    <row r="643" ht="14.25" customHeight="1">
      <c r="D643" s="3"/>
    </row>
    <row r="644" ht="14.25" customHeight="1">
      <c r="D644" s="3"/>
    </row>
    <row r="645" ht="14.25" customHeight="1">
      <c r="D645" s="3"/>
    </row>
    <row r="646" ht="14.25" customHeight="1">
      <c r="D646" s="3"/>
    </row>
    <row r="647" ht="14.25" customHeight="1">
      <c r="D647" s="3"/>
    </row>
    <row r="648" ht="14.25" customHeight="1">
      <c r="D648" s="3"/>
    </row>
    <row r="649" ht="14.25" customHeight="1">
      <c r="D649" s="3"/>
    </row>
    <row r="650" ht="14.25" customHeight="1">
      <c r="D650" s="3"/>
    </row>
    <row r="651" ht="14.25" customHeight="1">
      <c r="D651" s="3"/>
    </row>
    <row r="652" ht="14.25" customHeight="1">
      <c r="D652" s="3"/>
    </row>
    <row r="653" ht="14.25" customHeight="1">
      <c r="D653" s="3"/>
    </row>
    <row r="654" ht="14.25" customHeight="1">
      <c r="D654" s="3"/>
    </row>
    <row r="655" ht="14.25" customHeight="1">
      <c r="D655" s="3"/>
    </row>
    <row r="656" ht="14.25" customHeight="1">
      <c r="D656" s="3"/>
    </row>
    <row r="657" ht="14.25" customHeight="1">
      <c r="D657" s="3"/>
    </row>
    <row r="658" ht="14.25" customHeight="1">
      <c r="D658" s="3"/>
    </row>
    <row r="659" ht="14.25" customHeight="1">
      <c r="D659" s="3"/>
    </row>
    <row r="660" ht="14.25" customHeight="1">
      <c r="D660" s="3"/>
    </row>
    <row r="661" ht="14.25" customHeight="1">
      <c r="D661" s="3"/>
    </row>
    <row r="662" ht="14.25" customHeight="1">
      <c r="D662" s="3"/>
    </row>
    <row r="663" ht="14.25" customHeight="1">
      <c r="D663" s="3"/>
    </row>
    <row r="664" ht="14.25" customHeight="1">
      <c r="D664" s="3"/>
    </row>
    <row r="665" ht="14.25" customHeight="1">
      <c r="D665" s="3"/>
    </row>
    <row r="666" ht="14.25" customHeight="1">
      <c r="D666" s="3"/>
    </row>
    <row r="667" ht="14.25" customHeight="1">
      <c r="D667" s="3"/>
    </row>
    <row r="668" ht="14.25" customHeight="1">
      <c r="D668" s="3"/>
    </row>
    <row r="669" ht="14.25" customHeight="1">
      <c r="D669" s="3"/>
    </row>
    <row r="670" ht="14.25" customHeight="1">
      <c r="D670" s="3"/>
    </row>
    <row r="671" ht="14.25" customHeight="1">
      <c r="D671" s="3"/>
    </row>
    <row r="672" ht="14.25" customHeight="1">
      <c r="D672" s="3"/>
    </row>
    <row r="673" ht="14.25" customHeight="1">
      <c r="D673" s="3"/>
    </row>
    <row r="674" ht="14.25" customHeight="1">
      <c r="D674" s="3"/>
    </row>
    <row r="675" ht="14.25" customHeight="1">
      <c r="D675" s="3"/>
    </row>
    <row r="676" ht="14.25" customHeight="1">
      <c r="D676" s="3"/>
    </row>
    <row r="677" ht="14.25" customHeight="1">
      <c r="D677" s="3"/>
    </row>
    <row r="678" ht="14.25" customHeight="1">
      <c r="D678" s="3"/>
    </row>
    <row r="679" ht="14.25" customHeight="1">
      <c r="D679" s="3"/>
    </row>
    <row r="680" ht="14.25" customHeight="1">
      <c r="D680" s="3"/>
    </row>
    <row r="681" ht="14.25" customHeight="1">
      <c r="D681" s="3"/>
    </row>
    <row r="682" ht="14.25" customHeight="1">
      <c r="D682" s="3"/>
    </row>
    <row r="683" ht="14.25" customHeight="1">
      <c r="D683" s="3"/>
    </row>
    <row r="684" ht="14.25" customHeight="1">
      <c r="D684" s="3"/>
    </row>
    <row r="685" ht="14.25" customHeight="1">
      <c r="D685" s="3"/>
    </row>
    <row r="686" ht="14.25" customHeight="1">
      <c r="D686" s="3"/>
    </row>
    <row r="687" ht="14.25" customHeight="1">
      <c r="D687" s="3"/>
    </row>
    <row r="688" ht="14.25" customHeight="1">
      <c r="D688" s="3"/>
    </row>
    <row r="689" ht="14.25" customHeight="1">
      <c r="D689" s="3"/>
    </row>
    <row r="690" ht="14.25" customHeight="1">
      <c r="D690" s="3"/>
    </row>
    <row r="691" ht="14.25" customHeight="1">
      <c r="D691" s="3"/>
    </row>
    <row r="692" ht="14.25" customHeight="1">
      <c r="D692" s="3"/>
    </row>
    <row r="693" ht="14.25" customHeight="1">
      <c r="D693" s="3"/>
    </row>
    <row r="694" ht="14.25" customHeight="1">
      <c r="D694" s="3"/>
    </row>
    <row r="695" ht="14.25" customHeight="1">
      <c r="D695" s="3"/>
    </row>
    <row r="696" ht="14.25" customHeight="1">
      <c r="D696" s="3"/>
    </row>
    <row r="697" ht="14.25" customHeight="1">
      <c r="D697" s="3"/>
    </row>
    <row r="698" ht="14.25" customHeight="1">
      <c r="D698" s="3"/>
    </row>
    <row r="699" ht="14.25" customHeight="1">
      <c r="D699" s="3"/>
    </row>
    <row r="700" ht="14.25" customHeight="1">
      <c r="D700" s="3"/>
    </row>
    <row r="701" ht="14.25" customHeight="1">
      <c r="D701" s="3"/>
    </row>
    <row r="702" ht="14.25" customHeight="1">
      <c r="D702" s="3"/>
    </row>
    <row r="703" ht="14.25" customHeight="1">
      <c r="D703" s="3"/>
    </row>
    <row r="704" ht="14.25" customHeight="1">
      <c r="D704" s="3"/>
    </row>
    <row r="705" ht="14.25" customHeight="1">
      <c r="D705" s="3"/>
    </row>
    <row r="706" ht="14.25" customHeight="1">
      <c r="D706" s="3"/>
    </row>
    <row r="707" ht="14.25" customHeight="1">
      <c r="D707" s="3"/>
    </row>
    <row r="708" ht="14.25" customHeight="1">
      <c r="D708" s="3"/>
    </row>
    <row r="709" ht="14.25" customHeight="1">
      <c r="D709" s="3"/>
    </row>
    <row r="710" ht="14.25" customHeight="1">
      <c r="D710" s="3"/>
    </row>
    <row r="711" ht="14.25" customHeight="1">
      <c r="D711" s="3"/>
    </row>
    <row r="712" ht="14.25" customHeight="1">
      <c r="D712" s="3"/>
    </row>
    <row r="713" ht="14.25" customHeight="1">
      <c r="D713" s="3"/>
    </row>
    <row r="714" ht="14.25" customHeight="1">
      <c r="D714" s="3"/>
    </row>
    <row r="715" ht="14.25" customHeight="1">
      <c r="D715" s="3"/>
    </row>
    <row r="716" ht="14.25" customHeight="1">
      <c r="D716" s="3"/>
    </row>
    <row r="717" ht="14.25" customHeight="1">
      <c r="D717" s="3"/>
    </row>
    <row r="718" ht="14.25" customHeight="1">
      <c r="D718" s="3"/>
    </row>
    <row r="719" ht="14.25" customHeight="1">
      <c r="D719" s="3"/>
    </row>
    <row r="720" ht="14.25" customHeight="1">
      <c r="D720" s="3"/>
    </row>
    <row r="721" ht="14.25" customHeight="1">
      <c r="D721" s="3"/>
    </row>
    <row r="722" ht="14.25" customHeight="1">
      <c r="D722" s="3"/>
    </row>
    <row r="723" ht="14.25" customHeight="1">
      <c r="D723" s="3"/>
    </row>
    <row r="724" ht="14.25" customHeight="1">
      <c r="D724" s="3"/>
    </row>
    <row r="725" ht="14.25" customHeight="1">
      <c r="D725" s="3"/>
    </row>
    <row r="726" ht="14.25" customHeight="1">
      <c r="D726" s="3"/>
    </row>
    <row r="727" ht="14.25" customHeight="1">
      <c r="D727" s="3"/>
    </row>
    <row r="728" ht="14.25" customHeight="1">
      <c r="D728" s="3"/>
    </row>
    <row r="729" ht="14.25" customHeight="1">
      <c r="D729" s="3"/>
    </row>
    <row r="730" ht="14.25" customHeight="1">
      <c r="D730" s="3"/>
    </row>
    <row r="731" ht="14.25" customHeight="1">
      <c r="D731" s="3"/>
    </row>
    <row r="732" ht="14.25" customHeight="1">
      <c r="D732" s="3"/>
    </row>
    <row r="733" ht="14.25" customHeight="1">
      <c r="D733" s="3"/>
    </row>
    <row r="734" ht="14.25" customHeight="1">
      <c r="D734" s="3"/>
    </row>
    <row r="735" ht="14.25" customHeight="1">
      <c r="D735" s="3"/>
    </row>
    <row r="736" ht="14.25" customHeight="1">
      <c r="D736" s="3"/>
    </row>
    <row r="737" ht="14.25" customHeight="1">
      <c r="D737" s="3"/>
    </row>
    <row r="738" ht="14.25" customHeight="1">
      <c r="D738" s="3"/>
    </row>
    <row r="739" ht="14.25" customHeight="1">
      <c r="D739" s="3"/>
    </row>
    <row r="740" ht="14.25" customHeight="1">
      <c r="D740" s="3"/>
    </row>
    <row r="741" ht="14.25" customHeight="1">
      <c r="D741" s="3"/>
    </row>
    <row r="742" ht="14.25" customHeight="1">
      <c r="D742" s="3"/>
    </row>
    <row r="743" ht="14.25" customHeight="1">
      <c r="D743" s="3"/>
    </row>
    <row r="744" ht="14.25" customHeight="1">
      <c r="D744" s="3"/>
    </row>
    <row r="745" ht="14.25" customHeight="1">
      <c r="D745" s="3"/>
    </row>
    <row r="746" ht="14.25" customHeight="1">
      <c r="D746" s="3"/>
    </row>
    <row r="747" ht="14.25" customHeight="1">
      <c r="D747" s="3"/>
    </row>
    <row r="748" ht="14.25" customHeight="1">
      <c r="D748" s="3"/>
    </row>
    <row r="749" ht="14.25" customHeight="1">
      <c r="D749" s="3"/>
    </row>
    <row r="750" ht="14.25" customHeight="1">
      <c r="D750" s="3"/>
    </row>
    <row r="751" ht="14.25" customHeight="1">
      <c r="D751" s="3"/>
    </row>
    <row r="752" ht="14.25" customHeight="1">
      <c r="D752" s="3"/>
    </row>
    <row r="753" ht="14.25" customHeight="1">
      <c r="D753" s="3"/>
    </row>
    <row r="754" ht="14.25" customHeight="1">
      <c r="D754" s="3"/>
    </row>
    <row r="755" ht="14.25" customHeight="1">
      <c r="D755" s="3"/>
    </row>
    <row r="756" ht="14.25" customHeight="1">
      <c r="D756" s="3"/>
    </row>
    <row r="757" ht="14.25" customHeight="1">
      <c r="D757" s="3"/>
    </row>
    <row r="758" ht="14.25" customHeight="1">
      <c r="D758" s="3"/>
    </row>
    <row r="759" ht="14.25" customHeight="1">
      <c r="D759" s="3"/>
    </row>
    <row r="760" ht="14.25" customHeight="1">
      <c r="D760" s="3"/>
    </row>
    <row r="761" ht="14.25" customHeight="1">
      <c r="D761" s="3"/>
    </row>
    <row r="762" ht="14.25" customHeight="1">
      <c r="D762" s="3"/>
    </row>
    <row r="763" ht="14.25" customHeight="1">
      <c r="D763" s="3"/>
    </row>
    <row r="764" ht="14.25" customHeight="1">
      <c r="D764" s="3"/>
    </row>
    <row r="765" ht="14.25" customHeight="1">
      <c r="D765" s="3"/>
    </row>
    <row r="766" ht="14.25" customHeight="1">
      <c r="D766" s="3"/>
    </row>
    <row r="767" ht="14.25" customHeight="1">
      <c r="D767" s="3"/>
    </row>
    <row r="768" ht="14.25" customHeight="1">
      <c r="D768" s="3"/>
    </row>
    <row r="769" ht="14.25" customHeight="1">
      <c r="D769" s="3"/>
    </row>
    <row r="770" ht="14.25" customHeight="1">
      <c r="D770" s="3"/>
    </row>
    <row r="771" ht="14.25" customHeight="1">
      <c r="D771" s="3"/>
    </row>
    <row r="772" ht="14.25" customHeight="1">
      <c r="D772" s="3"/>
    </row>
    <row r="773" ht="14.25" customHeight="1">
      <c r="D773" s="3"/>
    </row>
    <row r="774" ht="14.25" customHeight="1">
      <c r="D774" s="3"/>
    </row>
    <row r="775" ht="14.25" customHeight="1">
      <c r="D775" s="3"/>
    </row>
    <row r="776" ht="14.25" customHeight="1">
      <c r="D776" s="3"/>
    </row>
    <row r="777" ht="14.25" customHeight="1">
      <c r="D777" s="3"/>
    </row>
    <row r="778" ht="14.25" customHeight="1">
      <c r="D778" s="3"/>
    </row>
    <row r="779" ht="14.25" customHeight="1">
      <c r="D779" s="3"/>
    </row>
    <row r="780" ht="14.25" customHeight="1">
      <c r="D780" s="3"/>
    </row>
    <row r="781" ht="14.25" customHeight="1">
      <c r="D781" s="3"/>
    </row>
    <row r="782" ht="14.25" customHeight="1">
      <c r="D782" s="3"/>
    </row>
    <row r="783" ht="14.25" customHeight="1">
      <c r="D783" s="3"/>
    </row>
    <row r="784" ht="14.25" customHeight="1">
      <c r="D784" s="3"/>
    </row>
    <row r="785" ht="14.25" customHeight="1">
      <c r="D785" s="3"/>
    </row>
    <row r="786" ht="14.25" customHeight="1">
      <c r="D786" s="3"/>
    </row>
    <row r="787" ht="14.25" customHeight="1">
      <c r="D787" s="3"/>
    </row>
    <row r="788" ht="14.25" customHeight="1">
      <c r="D788" s="3"/>
    </row>
    <row r="789" ht="14.25" customHeight="1">
      <c r="D789" s="3"/>
    </row>
    <row r="790" ht="14.25" customHeight="1">
      <c r="D790" s="3"/>
    </row>
    <row r="791" ht="14.25" customHeight="1">
      <c r="D791" s="3"/>
    </row>
    <row r="792" ht="14.25" customHeight="1">
      <c r="D792" s="3"/>
    </row>
    <row r="793" ht="14.25" customHeight="1">
      <c r="D793" s="3"/>
    </row>
    <row r="794" ht="14.25" customHeight="1">
      <c r="D794" s="3"/>
    </row>
    <row r="795" ht="14.25" customHeight="1">
      <c r="D795" s="3"/>
    </row>
    <row r="796" ht="14.25" customHeight="1">
      <c r="D796" s="3"/>
    </row>
    <row r="797" ht="14.25" customHeight="1">
      <c r="D797" s="3"/>
    </row>
    <row r="798" ht="14.25" customHeight="1">
      <c r="D798" s="3"/>
    </row>
    <row r="799" ht="14.25" customHeight="1">
      <c r="D799" s="3"/>
    </row>
    <row r="800" ht="14.25" customHeight="1">
      <c r="D800" s="3"/>
    </row>
    <row r="801" ht="14.25" customHeight="1">
      <c r="D801" s="3"/>
    </row>
    <row r="802" ht="14.25" customHeight="1">
      <c r="D802" s="3"/>
    </row>
    <row r="803" ht="14.25" customHeight="1">
      <c r="D803" s="3"/>
    </row>
    <row r="804" ht="14.25" customHeight="1">
      <c r="D804" s="3"/>
    </row>
    <row r="805" ht="14.25" customHeight="1">
      <c r="D805" s="3"/>
    </row>
    <row r="806" ht="14.25" customHeight="1">
      <c r="D806" s="3"/>
    </row>
    <row r="807" ht="14.25" customHeight="1">
      <c r="D807" s="3"/>
    </row>
    <row r="808" ht="14.25" customHeight="1">
      <c r="D808" s="3"/>
    </row>
    <row r="809" ht="14.25" customHeight="1">
      <c r="D809" s="3"/>
    </row>
    <row r="810" ht="14.25" customHeight="1">
      <c r="D810" s="3"/>
    </row>
    <row r="811" ht="14.25" customHeight="1">
      <c r="D811" s="3"/>
    </row>
    <row r="812" ht="14.25" customHeight="1">
      <c r="D812" s="3"/>
    </row>
    <row r="813" ht="14.25" customHeight="1">
      <c r="D813" s="3"/>
    </row>
    <row r="814" ht="14.25" customHeight="1">
      <c r="D814" s="3"/>
    </row>
    <row r="815" ht="14.25" customHeight="1">
      <c r="D815" s="3"/>
    </row>
    <row r="816" ht="14.25" customHeight="1">
      <c r="D816" s="3"/>
    </row>
    <row r="817" ht="14.25" customHeight="1">
      <c r="D817" s="3"/>
    </row>
    <row r="818" ht="14.25" customHeight="1">
      <c r="D818" s="3"/>
    </row>
    <row r="819" ht="14.25" customHeight="1">
      <c r="D819" s="3"/>
    </row>
    <row r="820" ht="14.25" customHeight="1">
      <c r="D820" s="3"/>
    </row>
    <row r="821" ht="14.25" customHeight="1">
      <c r="D821" s="3"/>
    </row>
    <row r="822" ht="14.25" customHeight="1">
      <c r="D822" s="3"/>
    </row>
    <row r="823" ht="14.25" customHeight="1">
      <c r="D823" s="3"/>
    </row>
    <row r="824" ht="14.25" customHeight="1">
      <c r="D824" s="3"/>
    </row>
    <row r="825" ht="14.25" customHeight="1">
      <c r="D825" s="3"/>
    </row>
    <row r="826" ht="14.25" customHeight="1">
      <c r="D826" s="3"/>
    </row>
    <row r="827" ht="14.25" customHeight="1">
      <c r="D827" s="3"/>
    </row>
    <row r="828" ht="14.25" customHeight="1">
      <c r="D828" s="3"/>
    </row>
    <row r="829" ht="14.25" customHeight="1">
      <c r="D829" s="3"/>
    </row>
    <row r="830" ht="14.25" customHeight="1">
      <c r="D830" s="3"/>
    </row>
    <row r="831" ht="14.25" customHeight="1">
      <c r="D831" s="3"/>
    </row>
    <row r="832" ht="14.25" customHeight="1">
      <c r="D832" s="3"/>
    </row>
    <row r="833" ht="14.25" customHeight="1">
      <c r="D833" s="3"/>
    </row>
    <row r="834" ht="14.25" customHeight="1">
      <c r="D834" s="3"/>
    </row>
    <row r="835" ht="14.25" customHeight="1">
      <c r="D835" s="3"/>
    </row>
    <row r="836" ht="14.25" customHeight="1">
      <c r="D836" s="3"/>
    </row>
    <row r="837" ht="14.25" customHeight="1">
      <c r="D837" s="3"/>
    </row>
    <row r="838" ht="14.25" customHeight="1">
      <c r="D838" s="3"/>
    </row>
    <row r="839" ht="14.25" customHeight="1">
      <c r="D839" s="3"/>
    </row>
    <row r="840" ht="14.25" customHeight="1">
      <c r="D840" s="3"/>
    </row>
    <row r="841" ht="14.25" customHeight="1">
      <c r="D841" s="3"/>
    </row>
    <row r="842" ht="14.25" customHeight="1">
      <c r="D842" s="3"/>
    </row>
    <row r="843" ht="14.25" customHeight="1">
      <c r="D843" s="3"/>
    </row>
    <row r="844" ht="14.25" customHeight="1">
      <c r="D844" s="3"/>
    </row>
    <row r="845" ht="14.25" customHeight="1">
      <c r="D845" s="3"/>
    </row>
    <row r="846" ht="14.25" customHeight="1">
      <c r="D846" s="3"/>
    </row>
    <row r="847" ht="14.25" customHeight="1">
      <c r="D847" s="3"/>
    </row>
    <row r="848" ht="14.25" customHeight="1">
      <c r="D848" s="3"/>
    </row>
    <row r="849" ht="14.25" customHeight="1">
      <c r="D849" s="3"/>
    </row>
    <row r="850" ht="14.25" customHeight="1">
      <c r="D850" s="3"/>
    </row>
    <row r="851" ht="14.25" customHeight="1">
      <c r="D851" s="3"/>
    </row>
    <row r="852" ht="14.25" customHeight="1">
      <c r="D852" s="3"/>
    </row>
    <row r="853" ht="14.25" customHeight="1">
      <c r="D853" s="3"/>
    </row>
    <row r="854" ht="14.25" customHeight="1">
      <c r="D854" s="3"/>
    </row>
    <row r="855" ht="14.25" customHeight="1">
      <c r="D855" s="3"/>
    </row>
    <row r="856" ht="14.25" customHeight="1">
      <c r="D856" s="3"/>
    </row>
    <row r="857" ht="14.25" customHeight="1">
      <c r="D857" s="3"/>
    </row>
    <row r="858" ht="14.25" customHeight="1">
      <c r="D858" s="3"/>
    </row>
    <row r="859" ht="14.25" customHeight="1">
      <c r="D859" s="3"/>
    </row>
    <row r="860" ht="14.25" customHeight="1">
      <c r="D860" s="3"/>
    </row>
    <row r="861" ht="14.25" customHeight="1">
      <c r="D861" s="3"/>
    </row>
    <row r="862" ht="14.25" customHeight="1">
      <c r="D862" s="3"/>
    </row>
    <row r="863" ht="14.25" customHeight="1">
      <c r="D863" s="3"/>
    </row>
    <row r="864" ht="14.25" customHeight="1">
      <c r="D864" s="3"/>
    </row>
    <row r="865" ht="14.25" customHeight="1">
      <c r="D865" s="3"/>
    </row>
    <row r="866" ht="14.25" customHeight="1">
      <c r="D866" s="3"/>
    </row>
    <row r="867" ht="14.25" customHeight="1">
      <c r="D867" s="3"/>
    </row>
    <row r="868" ht="14.25" customHeight="1">
      <c r="D868" s="3"/>
    </row>
    <row r="869" ht="14.25" customHeight="1">
      <c r="D869" s="3"/>
    </row>
    <row r="870" ht="14.25" customHeight="1">
      <c r="D870" s="3"/>
    </row>
    <row r="871" ht="14.25" customHeight="1">
      <c r="D871" s="3"/>
    </row>
    <row r="872" ht="14.25" customHeight="1">
      <c r="D872" s="3"/>
    </row>
    <row r="873" ht="14.25" customHeight="1">
      <c r="D873" s="3"/>
    </row>
    <row r="874" ht="14.25" customHeight="1">
      <c r="D874" s="3"/>
    </row>
    <row r="875" ht="14.25" customHeight="1">
      <c r="D875" s="3"/>
    </row>
    <row r="876" ht="14.25" customHeight="1">
      <c r="D876" s="3"/>
    </row>
    <row r="877" ht="14.25" customHeight="1">
      <c r="D877" s="3"/>
    </row>
    <row r="878" ht="14.25" customHeight="1">
      <c r="D878" s="3"/>
    </row>
    <row r="879" ht="14.25" customHeight="1">
      <c r="D879" s="3"/>
    </row>
    <row r="880" ht="14.25" customHeight="1">
      <c r="D880" s="3"/>
    </row>
    <row r="881" ht="14.25" customHeight="1">
      <c r="D881" s="3"/>
    </row>
    <row r="882" ht="14.25" customHeight="1">
      <c r="D882" s="3"/>
    </row>
    <row r="883" ht="14.25" customHeight="1">
      <c r="D883" s="3"/>
    </row>
    <row r="884" ht="14.25" customHeight="1">
      <c r="D884" s="3"/>
    </row>
    <row r="885" ht="14.25" customHeight="1">
      <c r="D885" s="3"/>
    </row>
    <row r="886" ht="14.25" customHeight="1">
      <c r="D886" s="3"/>
    </row>
    <row r="887" ht="14.25" customHeight="1">
      <c r="D887" s="3"/>
    </row>
    <row r="888" ht="14.25" customHeight="1">
      <c r="D888" s="3"/>
    </row>
    <row r="889" ht="14.25" customHeight="1">
      <c r="D889" s="3"/>
    </row>
    <row r="890" ht="14.25" customHeight="1">
      <c r="D890" s="3"/>
    </row>
    <row r="891" ht="14.25" customHeight="1">
      <c r="D891" s="3"/>
    </row>
    <row r="892" ht="14.25" customHeight="1">
      <c r="D892" s="3"/>
    </row>
    <row r="893" ht="14.25" customHeight="1">
      <c r="D893" s="3"/>
    </row>
    <row r="894" ht="14.25" customHeight="1">
      <c r="D894" s="3"/>
    </row>
    <row r="895" ht="14.25" customHeight="1">
      <c r="D895" s="3"/>
    </row>
    <row r="896" ht="14.25" customHeight="1">
      <c r="D896" s="3"/>
    </row>
    <row r="897" ht="14.25" customHeight="1">
      <c r="D897" s="3"/>
    </row>
    <row r="898" ht="14.25" customHeight="1">
      <c r="D898" s="3"/>
    </row>
    <row r="899" ht="14.25" customHeight="1">
      <c r="D899" s="3"/>
    </row>
    <row r="900" ht="14.25" customHeight="1">
      <c r="D900" s="3"/>
    </row>
    <row r="901" ht="14.25" customHeight="1">
      <c r="D901" s="3"/>
    </row>
    <row r="902" ht="14.25" customHeight="1">
      <c r="D902" s="3"/>
    </row>
    <row r="903" ht="14.25" customHeight="1">
      <c r="D903" s="3"/>
    </row>
    <row r="904" ht="14.25" customHeight="1">
      <c r="D904" s="3"/>
    </row>
    <row r="905" ht="14.25" customHeight="1">
      <c r="D905" s="3"/>
    </row>
    <row r="906" ht="14.25" customHeight="1">
      <c r="D906" s="3"/>
    </row>
    <row r="907" ht="14.25" customHeight="1">
      <c r="D907" s="3"/>
    </row>
    <row r="908" ht="14.25" customHeight="1">
      <c r="D908" s="3"/>
    </row>
    <row r="909" ht="14.25" customHeight="1">
      <c r="D909" s="3"/>
    </row>
    <row r="910" ht="14.25" customHeight="1">
      <c r="D910" s="3"/>
    </row>
    <row r="911" ht="14.25" customHeight="1">
      <c r="D911" s="3"/>
    </row>
    <row r="912" ht="14.25" customHeight="1">
      <c r="D912" s="3"/>
    </row>
    <row r="913" ht="14.25" customHeight="1">
      <c r="D913" s="3"/>
    </row>
    <row r="914" ht="14.25" customHeight="1">
      <c r="D914" s="3"/>
    </row>
    <row r="915" ht="14.25" customHeight="1">
      <c r="D915" s="3"/>
    </row>
    <row r="916" ht="14.25" customHeight="1">
      <c r="D916" s="3"/>
    </row>
    <row r="917" ht="14.25" customHeight="1">
      <c r="D917" s="3"/>
    </row>
    <row r="918" ht="14.25" customHeight="1">
      <c r="D918" s="3"/>
    </row>
    <row r="919" ht="14.25" customHeight="1">
      <c r="D919" s="3"/>
    </row>
    <row r="920" ht="14.25" customHeight="1">
      <c r="D920" s="3"/>
    </row>
    <row r="921" ht="14.25" customHeight="1">
      <c r="D921" s="3"/>
    </row>
    <row r="922" ht="14.25" customHeight="1">
      <c r="D922" s="3"/>
    </row>
    <row r="923" ht="14.25" customHeight="1">
      <c r="D923" s="3"/>
    </row>
    <row r="924" ht="14.25" customHeight="1">
      <c r="D924" s="3"/>
    </row>
    <row r="925" ht="14.25" customHeight="1">
      <c r="D925" s="3"/>
    </row>
    <row r="926" ht="14.25" customHeight="1">
      <c r="D926" s="3"/>
    </row>
    <row r="927" ht="14.25" customHeight="1">
      <c r="D927" s="3"/>
    </row>
    <row r="928" ht="14.25" customHeight="1">
      <c r="D928" s="3"/>
    </row>
    <row r="929" ht="14.25" customHeight="1">
      <c r="D929" s="3"/>
    </row>
    <row r="930" ht="14.25" customHeight="1">
      <c r="D930" s="3"/>
    </row>
    <row r="931" ht="14.25" customHeight="1">
      <c r="D931" s="3"/>
    </row>
    <row r="932" ht="14.25" customHeight="1">
      <c r="D932" s="3"/>
    </row>
    <row r="933" ht="14.25" customHeight="1">
      <c r="D933" s="3"/>
    </row>
    <row r="934" ht="14.25" customHeight="1">
      <c r="D934" s="3"/>
    </row>
    <row r="935" ht="14.25" customHeight="1">
      <c r="D935" s="3"/>
    </row>
    <row r="936" ht="14.25" customHeight="1">
      <c r="D936" s="3"/>
    </row>
    <row r="937" ht="14.25" customHeight="1">
      <c r="D937" s="3"/>
    </row>
    <row r="938" ht="14.25" customHeight="1">
      <c r="D938" s="3"/>
    </row>
    <row r="939" ht="14.25" customHeight="1">
      <c r="D939" s="3"/>
    </row>
    <row r="940" ht="14.25" customHeight="1">
      <c r="D940" s="3"/>
    </row>
    <row r="941" ht="14.25" customHeight="1">
      <c r="D941" s="3"/>
    </row>
    <row r="942" ht="14.25" customHeight="1">
      <c r="D942" s="3"/>
    </row>
    <row r="943" ht="14.25" customHeight="1">
      <c r="D943" s="3"/>
    </row>
    <row r="944" ht="14.25" customHeight="1">
      <c r="D944" s="3"/>
    </row>
    <row r="945" ht="14.25" customHeight="1">
      <c r="D945" s="3"/>
    </row>
    <row r="946" ht="14.25" customHeight="1">
      <c r="D946" s="3"/>
    </row>
    <row r="947" ht="14.25" customHeight="1">
      <c r="D947" s="3"/>
    </row>
    <row r="948" ht="14.25" customHeight="1">
      <c r="D948" s="3"/>
    </row>
    <row r="949" ht="14.25" customHeight="1">
      <c r="D949" s="3"/>
    </row>
    <row r="950" ht="14.25" customHeight="1">
      <c r="D950" s="3"/>
    </row>
    <row r="951" ht="14.25" customHeight="1">
      <c r="D951" s="3"/>
    </row>
    <row r="952" ht="14.25" customHeight="1">
      <c r="D952" s="3"/>
    </row>
    <row r="953" ht="14.25" customHeight="1">
      <c r="D953" s="3"/>
    </row>
    <row r="954" ht="14.25" customHeight="1">
      <c r="D954" s="3"/>
    </row>
    <row r="955" ht="14.25" customHeight="1">
      <c r="D955" s="3"/>
    </row>
    <row r="956" ht="14.25" customHeight="1">
      <c r="D956" s="3"/>
    </row>
    <row r="957" ht="14.25" customHeight="1">
      <c r="D957" s="3"/>
    </row>
    <row r="958" ht="14.25" customHeight="1">
      <c r="D958" s="3"/>
    </row>
    <row r="959" ht="14.25" customHeight="1">
      <c r="D959" s="3"/>
    </row>
    <row r="960" ht="14.25" customHeight="1">
      <c r="D960" s="3"/>
    </row>
    <row r="961" ht="14.25" customHeight="1">
      <c r="D961" s="3"/>
    </row>
    <row r="962" ht="14.25" customHeight="1">
      <c r="D962" s="3"/>
    </row>
    <row r="963" ht="14.25" customHeight="1">
      <c r="D963" s="3"/>
    </row>
    <row r="964" ht="14.25" customHeight="1">
      <c r="D964" s="3"/>
    </row>
    <row r="965" ht="14.25" customHeight="1">
      <c r="D965" s="3"/>
    </row>
    <row r="966" ht="14.25" customHeight="1">
      <c r="D966" s="3"/>
    </row>
    <row r="967" ht="14.25" customHeight="1">
      <c r="D967" s="3"/>
    </row>
    <row r="968" ht="14.25" customHeight="1">
      <c r="D968" s="3"/>
    </row>
    <row r="969" ht="14.25" customHeight="1">
      <c r="D969" s="3"/>
    </row>
    <row r="970" ht="14.25" customHeight="1">
      <c r="D970" s="3"/>
    </row>
    <row r="971" ht="14.25" customHeight="1">
      <c r="D971" s="3"/>
    </row>
    <row r="972" ht="14.25" customHeight="1">
      <c r="D972" s="3"/>
    </row>
    <row r="973" ht="14.25" customHeight="1">
      <c r="D973" s="3"/>
    </row>
    <row r="974" ht="14.25" customHeight="1">
      <c r="D974" s="3"/>
    </row>
    <row r="975" ht="14.25" customHeight="1">
      <c r="D975" s="3"/>
    </row>
    <row r="976" ht="14.25" customHeight="1">
      <c r="D976" s="3"/>
    </row>
    <row r="977" ht="14.25" customHeight="1">
      <c r="D977" s="3"/>
    </row>
    <row r="978" ht="14.25" customHeight="1">
      <c r="D978" s="3"/>
    </row>
    <row r="979" ht="14.25" customHeight="1">
      <c r="D979" s="3"/>
    </row>
    <row r="980" ht="14.25" customHeight="1">
      <c r="D980" s="3"/>
    </row>
    <row r="981" ht="14.25" customHeight="1">
      <c r="D981" s="3"/>
    </row>
    <row r="982" ht="14.25" customHeight="1">
      <c r="D982" s="3"/>
    </row>
    <row r="983" ht="14.25" customHeight="1">
      <c r="D983" s="3"/>
    </row>
    <row r="984" ht="14.25" customHeight="1">
      <c r="D984" s="3"/>
    </row>
    <row r="985" ht="14.25" customHeight="1">
      <c r="D985" s="3"/>
    </row>
    <row r="986" ht="14.25" customHeight="1">
      <c r="D986" s="3"/>
    </row>
    <row r="987" ht="14.25" customHeight="1">
      <c r="D987" s="3"/>
    </row>
    <row r="988" ht="14.25" customHeight="1">
      <c r="D988" s="3"/>
    </row>
    <row r="989" ht="14.25" customHeight="1">
      <c r="D989" s="3"/>
    </row>
    <row r="990" ht="14.25" customHeight="1">
      <c r="D990" s="3"/>
    </row>
    <row r="991" ht="14.25" customHeight="1">
      <c r="D991" s="3"/>
    </row>
    <row r="992" ht="14.25" customHeight="1">
      <c r="D992" s="3"/>
    </row>
    <row r="993" ht="14.25" customHeight="1">
      <c r="D993" s="3"/>
    </row>
    <row r="994" ht="14.25" customHeight="1">
      <c r="D994" s="3"/>
    </row>
    <row r="995" ht="14.25" customHeight="1">
      <c r="D995" s="3"/>
    </row>
    <row r="996" ht="14.25" customHeight="1">
      <c r="D996" s="3"/>
    </row>
    <row r="997" ht="14.25" customHeight="1">
      <c r="D997" s="3"/>
    </row>
    <row r="998" ht="14.25" customHeight="1">
      <c r="D998" s="3"/>
    </row>
    <row r="999" ht="14.25" customHeight="1">
      <c r="D999" s="3"/>
    </row>
  </sheetData>
  <mergeCells count="2">
    <mergeCell ref="O1:Q1"/>
    <mergeCell ref="R1:U1"/>
  </mergeCells>
  <hyperlinks>
    <hyperlink r:id="rId1" ref="H3"/>
    <hyperlink r:id="rId2" ref="Y3"/>
    <hyperlink r:id="rId3" ref="Y4"/>
    <hyperlink r:id="rId4" ref="H5"/>
    <hyperlink r:id="rId5" ref="W5"/>
    <hyperlink r:id="rId6" ref="H6"/>
    <hyperlink r:id="rId7" ref="W6"/>
    <hyperlink r:id="rId8" ref="Y6"/>
    <hyperlink r:id="rId9" ref="W7"/>
    <hyperlink r:id="rId10" ref="H8"/>
    <hyperlink r:id="rId11" ref="W8"/>
    <hyperlink r:id="rId12" ref="H9"/>
    <hyperlink r:id="rId13" ref="Y9"/>
    <hyperlink r:id="rId14" ref="H10"/>
    <hyperlink r:id="rId15" ref="H12"/>
    <hyperlink r:id="rId16" ref="W12"/>
    <hyperlink r:id="rId17" ref="H15"/>
    <hyperlink r:id="rId18" ref="H16"/>
    <hyperlink r:id="rId19" ref="H18"/>
    <hyperlink r:id="rId20" ref="W18"/>
    <hyperlink r:id="rId21" ref="Y18"/>
    <hyperlink r:id="rId22" ref="H19"/>
    <hyperlink r:id="rId23" ref="H20"/>
    <hyperlink r:id="rId24" ref="H22"/>
    <hyperlink r:id="rId25" ref="W22"/>
    <hyperlink r:id="rId26" ref="H24"/>
    <hyperlink r:id="rId27" ref="W24"/>
    <hyperlink r:id="rId28" ref="H25"/>
    <hyperlink r:id="rId29" ref="H26"/>
    <hyperlink r:id="rId30" ref="W26"/>
    <hyperlink r:id="rId31" ref="H27"/>
    <hyperlink r:id="rId32" location="gid=1121030019" ref="W27"/>
    <hyperlink r:id="rId33" ref="H28"/>
    <hyperlink r:id="rId34" ref="W28"/>
    <hyperlink r:id="rId35" ref="H30"/>
    <hyperlink r:id="rId36" ref="Y32"/>
    <hyperlink r:id="rId37" ref="H33"/>
    <hyperlink r:id="rId38" ref="H34"/>
    <hyperlink r:id="rId39" ref="W34"/>
    <hyperlink r:id="rId40" ref="H37"/>
    <hyperlink r:id="rId41" ref="X37"/>
    <hyperlink r:id="rId42" ref="Y37"/>
    <hyperlink r:id="rId43" ref="H38"/>
    <hyperlink r:id="rId44" ref="W38"/>
    <hyperlink r:id="rId45" ref="X38"/>
    <hyperlink r:id="rId46" ref="H39"/>
    <hyperlink r:id="rId47" ref="W39"/>
    <hyperlink r:id="rId48" ref="Y39"/>
    <hyperlink r:id="rId49" ref="H40"/>
    <hyperlink r:id="rId50" ref="W40"/>
    <hyperlink r:id="rId51" ref="X40"/>
    <hyperlink r:id="rId52" ref="H41"/>
    <hyperlink r:id="rId53" ref="H42"/>
    <hyperlink r:id="rId54" ref="W42"/>
    <hyperlink r:id="rId55" ref="H44"/>
    <hyperlink r:id="rId56" ref="W44"/>
    <hyperlink r:id="rId57" ref="X44"/>
    <hyperlink r:id="rId58" ref="Y47"/>
    <hyperlink r:id="rId59" ref="H48"/>
    <hyperlink r:id="rId60" ref="X48"/>
    <hyperlink r:id="rId61" ref="H49"/>
    <hyperlink r:id="rId62" ref="W49"/>
    <hyperlink r:id="rId63" ref="H51"/>
    <hyperlink r:id="rId64" ref="X51"/>
    <hyperlink r:id="rId65" ref="X55"/>
    <hyperlink r:id="rId66" ref="H56"/>
    <hyperlink r:id="rId67" ref="X56"/>
    <hyperlink r:id="rId68" ref="H58"/>
    <hyperlink r:id="rId69" ref="W58"/>
    <hyperlink r:id="rId70" ref="X58"/>
    <hyperlink r:id="rId71" ref="H59"/>
    <hyperlink r:id="rId72" ref="W59"/>
    <hyperlink r:id="rId73" ref="H61"/>
    <hyperlink r:id="rId74" ref="H62"/>
    <hyperlink r:id="rId75" ref="W62"/>
    <hyperlink r:id="rId76" ref="Y62"/>
    <hyperlink r:id="rId77" ref="H66"/>
    <hyperlink r:id="rId78" ref="H68"/>
    <hyperlink r:id="rId79" ref="X68"/>
    <hyperlink r:id="rId80" ref="H69"/>
    <hyperlink r:id="rId81" ref="W69"/>
    <hyperlink r:id="rId82" ref="X69"/>
    <hyperlink r:id="rId83" ref="H70"/>
    <hyperlink r:id="rId84" ref="W70"/>
    <hyperlink r:id="rId85" ref="X70"/>
    <hyperlink r:id="rId86" ref="H71"/>
    <hyperlink r:id="rId87" ref="X71"/>
    <hyperlink r:id="rId88" ref="H72"/>
    <hyperlink r:id="rId89" ref="W72"/>
    <hyperlink r:id="rId90" ref="X72"/>
    <hyperlink r:id="rId91" ref="H75"/>
    <hyperlink r:id="rId92" ref="W75"/>
    <hyperlink r:id="rId93" ref="H77"/>
    <hyperlink r:id="rId94" ref="W77"/>
    <hyperlink r:id="rId95" ref="X77"/>
    <hyperlink r:id="rId96" ref="H81"/>
    <hyperlink r:id="rId97" ref="W81"/>
    <hyperlink r:id="rId98" ref="H82"/>
    <hyperlink r:id="rId99" ref="W82"/>
    <hyperlink r:id="rId100" ref="H83"/>
    <hyperlink r:id="rId101" ref="H84"/>
    <hyperlink r:id="rId102" ref="X84"/>
    <hyperlink r:id="rId103" ref="H86"/>
    <hyperlink r:id="rId104" ref="H93"/>
    <hyperlink r:id="rId105" ref="X93"/>
    <hyperlink r:id="rId106" ref="H95"/>
    <hyperlink r:id="rId107" ref="X95"/>
    <hyperlink r:id="rId108" ref="H97"/>
    <hyperlink r:id="rId109" ref="H98"/>
    <hyperlink r:id="rId110" ref="Y98"/>
    <hyperlink r:id="rId111" ref="H99"/>
    <hyperlink r:id="rId112" ref="Y99"/>
    <hyperlink r:id="rId113" ref="Y100"/>
    <hyperlink r:id="rId114" ref="H103"/>
    <hyperlink r:id="rId115" ref="H105"/>
    <hyperlink r:id="rId116" ref="H109"/>
    <hyperlink r:id="rId117" ref="H111"/>
    <hyperlink r:id="rId118" ref="H112"/>
    <hyperlink r:id="rId119" ref="H113"/>
    <hyperlink r:id="rId120" ref="X113"/>
    <hyperlink r:id="rId121" ref="H124"/>
    <hyperlink r:id="rId122" ref="H130"/>
    <hyperlink r:id="rId123" ref="H131"/>
    <hyperlink r:id="rId124" ref="H132"/>
    <hyperlink r:id="rId125" ref="H137"/>
    <hyperlink r:id="rId126" ref="H140"/>
    <hyperlink r:id="rId127" ref="H145"/>
    <hyperlink r:id="rId128" ref="X145"/>
    <hyperlink r:id="rId129" ref="H146"/>
    <hyperlink r:id="rId130" ref="H147"/>
    <hyperlink r:id="rId131" ref="H148"/>
    <hyperlink r:id="rId132" ref="H149"/>
    <hyperlink r:id="rId133" ref="X149"/>
    <hyperlink r:id="rId134" ref="H154"/>
    <hyperlink r:id="rId135" ref="H157"/>
    <hyperlink r:id="rId136" ref="H158"/>
    <hyperlink r:id="rId137" ref="H159"/>
    <hyperlink r:id="rId138" ref="H160"/>
    <hyperlink r:id="rId139" ref="H163"/>
    <hyperlink r:id="rId140" ref="H168"/>
    <hyperlink r:id="rId141" ref="H171"/>
    <hyperlink r:id="rId142" ref="H172"/>
    <hyperlink r:id="rId143" ref="H176"/>
    <hyperlink r:id="rId144" ref="X176"/>
    <hyperlink r:id="rId145" ref="H177"/>
    <hyperlink r:id="rId146" ref="X177"/>
    <hyperlink r:id="rId147" ref="H179"/>
    <hyperlink r:id="rId148" ref="X179"/>
    <hyperlink r:id="rId149" ref="H183"/>
    <hyperlink r:id="rId150" ref="H185"/>
    <hyperlink r:id="rId151" ref="X185"/>
    <hyperlink r:id="rId152" ref="H187"/>
    <hyperlink r:id="rId153" ref="H188"/>
    <hyperlink r:id="rId154" ref="H191"/>
    <hyperlink r:id="rId155" ref="X191"/>
    <hyperlink r:id="rId156" ref="H193"/>
    <hyperlink r:id="rId157" ref="X193"/>
    <hyperlink r:id="rId158" ref="H195"/>
    <hyperlink r:id="rId159" ref="H199"/>
    <hyperlink r:id="rId160" ref="W205"/>
    <hyperlink r:id="rId161" ref="W206"/>
    <hyperlink r:id="rId162" ref="X206"/>
    <hyperlink r:id="rId163" ref="H207"/>
    <hyperlink r:id="rId164" ref="X207"/>
    <hyperlink r:id="rId165" ref="H210"/>
    <hyperlink r:id="rId166" ref="H214"/>
  </hyperlinks>
  <drawing r:id="rId16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2.63"/>
    <col customWidth="1" min="3" max="3" width="15.88"/>
    <col customWidth="1" min="5" max="5" width="14.75"/>
    <col customWidth="1" min="11" max="11" width="20.25"/>
    <col collapsed="1" min="12" max="12" width="12.63"/>
    <col hidden="1" min="13" max="13" width="12.63" outlineLevel="1"/>
    <col customWidth="1" min="14" max="14" width="15.25"/>
  </cols>
  <sheetData>
    <row r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N1" s="51" t="s">
        <v>814</v>
      </c>
      <c r="O1" s="53" t="s">
        <v>815</v>
      </c>
    </row>
    <row r="2">
      <c r="A2" s="42"/>
      <c r="B2" s="43" t="s">
        <v>752</v>
      </c>
      <c r="C2" s="21"/>
      <c r="D2" s="21"/>
      <c r="E2" s="21"/>
      <c r="F2" s="21"/>
      <c r="G2" s="21"/>
      <c r="H2" s="21"/>
      <c r="I2" s="44" t="s">
        <v>753</v>
      </c>
      <c r="J2" s="45"/>
      <c r="K2" s="46"/>
      <c r="M2" s="4">
        <v>1.0E9</v>
      </c>
      <c r="N2" s="34" t="s">
        <v>100</v>
      </c>
      <c r="O2" s="34">
        <f>COUNTIF(Calculations_Preferred!$E$3:$E$214,N2)</f>
        <v>59</v>
      </c>
    </row>
    <row r="3">
      <c r="A3" s="42"/>
      <c r="B3" s="47"/>
      <c r="C3" s="43" t="s">
        <v>754</v>
      </c>
      <c r="D3" s="21"/>
      <c r="E3" s="21"/>
      <c r="F3" s="43" t="s">
        <v>755</v>
      </c>
      <c r="G3" s="21"/>
      <c r="H3" s="22"/>
      <c r="I3" s="48"/>
      <c r="J3" s="49"/>
      <c r="K3" s="50"/>
      <c r="N3" s="76" t="s">
        <v>47</v>
      </c>
      <c r="O3" s="34">
        <f>COUNTIF(Calculations_Preferred!$E$3:$E$214,N3)</f>
        <v>38</v>
      </c>
    </row>
    <row r="4">
      <c r="A4" s="42"/>
      <c r="B4" s="47" t="s">
        <v>756</v>
      </c>
      <c r="C4" s="51" t="s">
        <v>757</v>
      </c>
      <c r="D4" s="51" t="s">
        <v>758</v>
      </c>
      <c r="E4" s="52" t="s">
        <v>759</v>
      </c>
      <c r="F4" s="47" t="s">
        <v>757</v>
      </c>
      <c r="G4" s="51" t="s">
        <v>758</v>
      </c>
      <c r="H4" s="53" t="s">
        <v>759</v>
      </c>
      <c r="I4" s="47" t="s">
        <v>760</v>
      </c>
      <c r="J4" s="51" t="s">
        <v>757</v>
      </c>
      <c r="K4" s="53" t="s">
        <v>761</v>
      </c>
      <c r="N4" s="34" t="s">
        <v>17</v>
      </c>
      <c r="O4" s="34">
        <f>COUNTIF(Calculations_Preferred!$E$3:$E$214,N4)</f>
        <v>20</v>
      </c>
    </row>
    <row r="5">
      <c r="A5" s="42"/>
      <c r="B5" s="54" t="s">
        <v>762</v>
      </c>
      <c r="C5" s="55">
        <f>SUM(Calculations_Expanded!O3:O214)/$M$2</f>
        <v>94.30426206</v>
      </c>
      <c r="D5" s="55">
        <f>SUM(Calculations_Expanded!Q3:Q216)/M2</f>
        <v>55.3850428</v>
      </c>
      <c r="E5" s="56">
        <f t="shared" ref="E5:E6" si="1">SUM(C5:D5)</f>
        <v>149.6893049</v>
      </c>
      <c r="F5" s="55">
        <f>SUMIF(Calculations_Expanded!F3:F214,"N",Calculations_Expanded!O3:O214)/$M$2</f>
        <v>55.09635282</v>
      </c>
      <c r="G5" s="55">
        <f>SUMIF(Calculations_Expanded!F3:F215,"N",Calculations_Expanded!Q3:Q216)/$M$2</f>
        <v>32.35817547</v>
      </c>
      <c r="H5" s="57">
        <f t="shared" ref="H5:H6" si="2">SUM(F5:G5)</f>
        <v>87.45452829</v>
      </c>
      <c r="I5" s="58">
        <f t="shared" ref="I5:I6" si="3">(C5-F5)/C5</f>
        <v>0.4157596739</v>
      </c>
      <c r="J5" s="59">
        <v>0.05</v>
      </c>
      <c r="K5" s="55">
        <f t="shared" ref="K5:K6" si="4">I5/J5</f>
        <v>8.315193478</v>
      </c>
      <c r="N5" s="34" t="s">
        <v>80</v>
      </c>
      <c r="O5" s="34">
        <f>COUNTIF(Calculations_Preferred!$E$3:$E$214,N5)</f>
        <v>12</v>
      </c>
    </row>
    <row r="6">
      <c r="A6" s="42"/>
      <c r="B6" s="54" t="s">
        <v>763</v>
      </c>
      <c r="C6" s="55">
        <f>SUM(Calculations_Expanded!S3:S214)/$M$2</f>
        <v>108.4499014</v>
      </c>
      <c r="D6" s="55">
        <f>SUM(Calculations_Expanded!U3:U216)/M2</f>
        <v>63.69279922</v>
      </c>
      <c r="E6" s="56">
        <f t="shared" si="1"/>
        <v>172.1427006</v>
      </c>
      <c r="F6" s="60">
        <f>SUMIF(Calculations_Expanded!F3:F214,"N",Calculations_Expanded!S3:S214)/$M$2</f>
        <v>63.36080574</v>
      </c>
      <c r="G6" s="55">
        <f>SUMIF(Calculations_Expanded!F3:F215,"N",Calculations_Expanded!U3:U216)/$M$2</f>
        <v>37.21190179</v>
      </c>
      <c r="H6" s="57">
        <f t="shared" si="2"/>
        <v>100.5727075</v>
      </c>
      <c r="I6" s="58">
        <f t="shared" si="3"/>
        <v>0.4157596739</v>
      </c>
      <c r="J6" s="61">
        <v>0.05</v>
      </c>
      <c r="K6" s="55">
        <f t="shared" si="4"/>
        <v>8.315193478</v>
      </c>
      <c r="N6" s="34" t="s">
        <v>90</v>
      </c>
      <c r="O6" s="34">
        <f>COUNTIF(Calculations_Preferred!$E$3:$E$214,N6)</f>
        <v>9</v>
      </c>
    </row>
    <row r="7">
      <c r="A7" s="42"/>
      <c r="B7" s="47" t="s">
        <v>764</v>
      </c>
      <c r="C7" s="43" t="s">
        <v>754</v>
      </c>
      <c r="D7" s="21"/>
      <c r="E7" s="21"/>
      <c r="F7" s="43" t="s">
        <v>755</v>
      </c>
      <c r="G7" s="21"/>
      <c r="H7" s="22"/>
      <c r="I7" s="47" t="s">
        <v>760</v>
      </c>
      <c r="J7" s="51" t="s">
        <v>757</v>
      </c>
      <c r="K7" s="53" t="s">
        <v>761</v>
      </c>
      <c r="N7" s="34" t="s">
        <v>52</v>
      </c>
      <c r="O7" s="34">
        <f>COUNTIF(Calculations_Preferred!$E$3:$E$214,N7)</f>
        <v>4</v>
      </c>
    </row>
    <row r="8">
      <c r="A8" s="42"/>
      <c r="B8" s="54" t="s">
        <v>765</v>
      </c>
      <c r="C8" s="55">
        <v>94.2</v>
      </c>
      <c r="D8" s="55"/>
      <c r="E8" s="55"/>
      <c r="F8" s="60">
        <f t="shared" ref="F8:F10" si="5">-1*((I8*C8)-C8)</f>
        <v>45.5928</v>
      </c>
      <c r="G8" s="34"/>
      <c r="H8" s="55"/>
      <c r="I8" s="58">
        <f t="shared" ref="I8:I10" si="6">K8*J8</f>
        <v>0.516</v>
      </c>
      <c r="J8" s="61">
        <v>0.05</v>
      </c>
      <c r="K8" s="55">
        <v>10.32</v>
      </c>
      <c r="N8" s="34" t="s">
        <v>24</v>
      </c>
      <c r="O8" s="34">
        <f>COUNTIF(Calculations_Preferred!$E$3:$E$214,N8)</f>
        <v>4</v>
      </c>
    </row>
    <row r="9">
      <c r="B9" s="54" t="s">
        <v>766</v>
      </c>
      <c r="C9" s="55">
        <v>94.2</v>
      </c>
      <c r="D9" s="55"/>
      <c r="E9" s="55"/>
      <c r="F9" s="60">
        <f t="shared" si="5"/>
        <v>35.325</v>
      </c>
      <c r="G9" s="34"/>
      <c r="H9" s="55"/>
      <c r="I9" s="58">
        <f t="shared" si="6"/>
        <v>0.625</v>
      </c>
      <c r="J9" s="61">
        <v>0.05</v>
      </c>
      <c r="K9" s="55">
        <v>12.5</v>
      </c>
      <c r="N9" s="76" t="s">
        <v>354</v>
      </c>
      <c r="O9" s="34">
        <f>COUNTIF(Calculations_Preferred!$E$3:$E$214,N9)</f>
        <v>4</v>
      </c>
    </row>
    <row r="10">
      <c r="B10" s="54" t="s">
        <v>767</v>
      </c>
      <c r="C10" s="55">
        <v>94.2</v>
      </c>
      <c r="D10" s="55"/>
      <c r="E10" s="55"/>
      <c r="F10" s="60">
        <f t="shared" si="5"/>
        <v>23.55</v>
      </c>
      <c r="G10" s="34"/>
      <c r="H10" s="55"/>
      <c r="I10" s="58">
        <f t="shared" si="6"/>
        <v>0.75</v>
      </c>
      <c r="J10" s="61">
        <v>0.05</v>
      </c>
      <c r="K10" s="55">
        <v>15.0</v>
      </c>
      <c r="N10" s="34" t="s">
        <v>218</v>
      </c>
      <c r="O10" s="34">
        <f>COUNTIF(Calculations_Preferred!$E$3:$E$214,N10)</f>
        <v>4</v>
      </c>
    </row>
    <row r="11">
      <c r="C11" s="63"/>
      <c r="G11" s="63"/>
      <c r="I11" s="64"/>
      <c r="J11" s="64"/>
      <c r="K11" s="4"/>
      <c r="N11" s="34" t="s">
        <v>30</v>
      </c>
      <c r="O11" s="34">
        <f>COUNTIF(Calculations_Preferred!$E$3:$E$214,N11)</f>
        <v>3</v>
      </c>
    </row>
    <row r="12">
      <c r="B12" s="65" t="s">
        <v>768</v>
      </c>
      <c r="C12" s="51" t="s">
        <v>769</v>
      </c>
      <c r="D12" s="65" t="s">
        <v>682</v>
      </c>
      <c r="E12" s="65" t="s">
        <v>770</v>
      </c>
      <c r="F12" s="65" t="s">
        <v>771</v>
      </c>
      <c r="G12" s="63"/>
      <c r="I12" s="64"/>
      <c r="J12" s="64"/>
      <c r="K12" s="4"/>
      <c r="N12" s="34" t="s">
        <v>63</v>
      </c>
      <c r="O12" s="34">
        <f>COUNTIF(Calculations_Preferred!$E$3:$E$214,N12)</f>
        <v>3</v>
      </c>
    </row>
    <row r="13">
      <c r="B13" s="39" t="s">
        <v>772</v>
      </c>
      <c r="C13" s="39" t="s">
        <v>34</v>
      </c>
      <c r="D13" s="36">
        <f>COUNTIF(Calculations_Expanded!$F$3:$F$214,$C13)</f>
        <v>202</v>
      </c>
      <c r="E13" s="66">
        <f>SUMIF(Calculations_Expanded!$F$3:$F$214,$C13,Calculations_Expanded!$D$3:$D$214)/$M$2</f>
        <v>1109.4</v>
      </c>
      <c r="F13" s="37">
        <f>E13/E15</f>
        <v>0.5854971501</v>
      </c>
      <c r="G13" s="63"/>
      <c r="N13" s="34" t="s">
        <v>113</v>
      </c>
      <c r="O13" s="34">
        <f>COUNTIF(Calculations_Preferred!$E$3:$E$214,N13)</f>
        <v>3</v>
      </c>
    </row>
    <row r="14">
      <c r="B14" s="39" t="s">
        <v>773</v>
      </c>
      <c r="C14" s="39" t="s">
        <v>18</v>
      </c>
      <c r="D14" s="36">
        <f>COUNTIF(Calculations_Expanded!$F$3:$F$214,$C14)</f>
        <v>10</v>
      </c>
      <c r="E14" s="66">
        <f>SUMIF(Calculations_Expanded!$F$3:$F$214,$C14,Calculations_Expanded!$D$3:$D$214)/$M$2</f>
        <v>785.4</v>
      </c>
      <c r="F14" s="37">
        <f>E14/E15</f>
        <v>0.4145028499</v>
      </c>
      <c r="N14" s="34" t="s">
        <v>268</v>
      </c>
      <c r="O14" s="34">
        <f>COUNTIF(Calculations_Preferred!$E$3:$E$214,N14)</f>
        <v>3</v>
      </c>
    </row>
    <row r="15">
      <c r="B15" s="67"/>
      <c r="C15" s="68" t="s">
        <v>681</v>
      </c>
      <c r="D15" s="69">
        <f t="shared" ref="D15:F15" si="7">SUM(D13:D14)</f>
        <v>212</v>
      </c>
      <c r="E15" s="70">
        <f t="shared" si="7"/>
        <v>1894.8</v>
      </c>
      <c r="F15" s="71">
        <f t="shared" si="7"/>
        <v>1</v>
      </c>
      <c r="N15" s="34" t="s">
        <v>308</v>
      </c>
      <c r="O15" s="34">
        <f>COUNTIF(Calculations_Preferred!$E$3:$E$214,N15)</f>
        <v>3</v>
      </c>
    </row>
    <row r="16">
      <c r="D16" s="4"/>
      <c r="E16" s="4"/>
      <c r="N16" s="34" t="s">
        <v>440</v>
      </c>
      <c r="O16" s="34">
        <f>COUNTIF(Calculations_Preferred!$E$3:$E$214,N16)</f>
        <v>3</v>
      </c>
    </row>
    <row r="17">
      <c r="N17" s="34" t="s">
        <v>87</v>
      </c>
      <c r="O17" s="34">
        <f>COUNTIF(Calculations_Preferred!$E$3:$E$214,N17)</f>
        <v>2</v>
      </c>
    </row>
    <row r="18">
      <c r="B18" s="72" t="s">
        <v>774</v>
      </c>
      <c r="C18" s="21"/>
      <c r="D18" s="22"/>
      <c r="N18" s="34" t="s">
        <v>166</v>
      </c>
      <c r="O18" s="34">
        <f>COUNTIF(Calculations_Preferred!$E$3:$E$214,N18)</f>
        <v>2</v>
      </c>
    </row>
    <row r="19">
      <c r="B19" s="39" t="s">
        <v>675</v>
      </c>
      <c r="C19" s="37">
        <f>average(Real_Estate_Stats_Preferred!F2:F213)</f>
        <v>0.01184434343</v>
      </c>
      <c r="D19" s="34"/>
      <c r="N19" s="34" t="s">
        <v>191</v>
      </c>
      <c r="O19" s="34">
        <f>COUNTIF(Calculations_Preferred!$E$3:$E$214,N19)</f>
        <v>2</v>
      </c>
    </row>
    <row r="20">
      <c r="B20" s="39" t="s">
        <v>676</v>
      </c>
      <c r="C20" s="37">
        <f>median(Real_Estate_Stats_Preferred!F2:F213)</f>
        <v>0.0063763</v>
      </c>
      <c r="D20" s="34"/>
      <c r="N20" s="34" t="s">
        <v>238</v>
      </c>
      <c r="O20" s="34">
        <f>COUNTIF(Calculations_Preferred!$E$3:$E$214,N20)</f>
        <v>2</v>
      </c>
    </row>
    <row r="21">
      <c r="B21" s="72" t="s">
        <v>775</v>
      </c>
      <c r="C21" s="21"/>
      <c r="D21" s="22"/>
      <c r="N21" s="34" t="s">
        <v>256</v>
      </c>
      <c r="O21" s="34">
        <f>COUNTIF(Calculations_Preferred!$E$3:$E$214,N21)</f>
        <v>2</v>
      </c>
    </row>
    <row r="22">
      <c r="B22" s="65" t="s">
        <v>776</v>
      </c>
      <c r="C22" s="73" t="s">
        <v>777</v>
      </c>
      <c r="D22" s="65" t="s">
        <v>772</v>
      </c>
      <c r="N22" s="34" t="s">
        <v>263</v>
      </c>
      <c r="O22" s="34">
        <f>COUNTIF(Calculations_Preferred!$E$3:$E$214,N22)</f>
        <v>2</v>
      </c>
    </row>
    <row r="23">
      <c r="B23" s="39" t="s">
        <v>778</v>
      </c>
      <c r="C23" s="74">
        <f>SUM(Calculations_Expanded!D3:D214)/M2</f>
        <v>1894.8</v>
      </c>
      <c r="D23" s="74">
        <f>SUMIF(Calculations_Preferred!F3:F214,"N",Calculations_Preferred!D3:D214)/M2</f>
        <v>1358.4</v>
      </c>
      <c r="N23" s="34" t="s">
        <v>329</v>
      </c>
      <c r="O23" s="34">
        <f>COUNTIF(Calculations_Preferred!$E$3:$E$214,N23)</f>
        <v>2</v>
      </c>
    </row>
    <row r="24">
      <c r="B24" s="39" t="s">
        <v>779</v>
      </c>
      <c r="C24" s="74">
        <f>SUM(Calculations_Expanded!L3:L214)/M2</f>
        <v>1886.085241</v>
      </c>
      <c r="D24" s="74">
        <f>SUMIF(Calculations_Preferred!F3:F214,"N",Calculations_Preferred!L3:L214)/M2</f>
        <v>1350.212994</v>
      </c>
      <c r="N24" s="34" t="s">
        <v>68</v>
      </c>
      <c r="O24" s="34">
        <f>COUNTIF(Calculations_Preferred!$E$3:$E$214,N24)</f>
        <v>1</v>
      </c>
    </row>
    <row r="25">
      <c r="B25" s="68" t="s">
        <v>780</v>
      </c>
      <c r="C25" s="75">
        <f t="shared" ref="C25:D25" si="8">C23-C24</f>
        <v>8.71475881</v>
      </c>
      <c r="D25" s="75">
        <f t="shared" si="8"/>
        <v>8.18700621</v>
      </c>
      <c r="N25" s="34" t="s">
        <v>72</v>
      </c>
      <c r="O25" s="34">
        <f>COUNTIF(Calculations_Preferred!$E$3:$E$214,N25)</f>
        <v>1</v>
      </c>
    </row>
    <row r="26">
      <c r="B26" s="77" t="s">
        <v>816</v>
      </c>
      <c r="C26" s="21"/>
      <c r="D26" s="22"/>
      <c r="N26" s="34" t="s">
        <v>84</v>
      </c>
      <c r="O26" s="34">
        <f>COUNTIF(Calculations_Preferred!$E$3:$E$214,N26)</f>
        <v>1</v>
      </c>
    </row>
    <row r="27">
      <c r="B27" s="39" t="s">
        <v>671</v>
      </c>
      <c r="C27" s="78">
        <f>SUM(Calculations_Expanded!D3:D22)/M2</f>
        <v>1213</v>
      </c>
      <c r="D27" s="37">
        <f t="shared" ref="D27:D29" si="9">C27/$C$23</f>
        <v>0.6401731053</v>
      </c>
      <c r="N27" s="34" t="s">
        <v>106</v>
      </c>
      <c r="O27" s="34">
        <f>COUNTIF(Calculations_Preferred!$E$3:$E$214,N27)</f>
        <v>1</v>
      </c>
    </row>
    <row r="28">
      <c r="B28" s="39" t="s">
        <v>672</v>
      </c>
      <c r="C28" s="78">
        <f>SUM(Calculations_Expanded!D3:D12)/M2</f>
        <v>1047</v>
      </c>
      <c r="D28" s="37">
        <f t="shared" si="9"/>
        <v>0.5525649145</v>
      </c>
      <c r="N28" s="76" t="s">
        <v>126</v>
      </c>
      <c r="O28" s="34">
        <f>COUNTIF(Calculations_Preferred!$E$3:$E$214,N28)</f>
        <v>1</v>
      </c>
    </row>
    <row r="29">
      <c r="B29" s="39" t="s">
        <v>673</v>
      </c>
      <c r="C29" s="34">
        <f>SUM(Calculations_Expanded!D3:D7)/M2</f>
        <v>915.9</v>
      </c>
      <c r="D29" s="37">
        <f t="shared" si="9"/>
        <v>0.4833755541</v>
      </c>
      <c r="N29" s="34" t="s">
        <v>163</v>
      </c>
      <c r="O29" s="34">
        <f>COUNTIF(Calculations_Preferred!$E$3:$E$214,N29)</f>
        <v>1</v>
      </c>
    </row>
    <row r="30">
      <c r="B30" s="39" t="s">
        <v>675</v>
      </c>
      <c r="C30" s="78">
        <f>average(Calculations_Expanded!D3:D214/M2)</f>
        <v>10</v>
      </c>
      <c r="N30" s="34" t="s">
        <v>224</v>
      </c>
      <c r="O30" s="34">
        <f>COUNTIF(Calculations_Preferred!$E$3:$E$214,N30)</f>
        <v>1</v>
      </c>
    </row>
    <row r="31">
      <c r="B31" s="39" t="s">
        <v>676</v>
      </c>
      <c r="C31" s="79">
        <f>MEDIAN(Calculations_Expanded!D3:D214)/M2</f>
        <v>3.1</v>
      </c>
      <c r="N31" s="34" t="s">
        <v>229</v>
      </c>
      <c r="O31" s="34">
        <f>COUNTIF(Calculations_Preferred!$E$3:$E$214,N31)</f>
        <v>1</v>
      </c>
    </row>
    <row r="32">
      <c r="B32" s="39" t="s">
        <v>677</v>
      </c>
      <c r="C32" s="79">
        <f>MODE(Calculations_Expanded!D3:D214)/M2</f>
        <v>1.3</v>
      </c>
      <c r="N32" s="34" t="s">
        <v>271</v>
      </c>
      <c r="O32" s="34">
        <f>COUNTIF(Calculations_Preferred!$E$3:$E$214,N32)</f>
        <v>1</v>
      </c>
    </row>
    <row r="33">
      <c r="B33" s="39" t="s">
        <v>817</v>
      </c>
      <c r="C33" s="79">
        <f>stdev(Calculations_Expanded!D3:D214)/M2</f>
        <v>30.23351128</v>
      </c>
      <c r="N33" s="34" t="s">
        <v>303</v>
      </c>
      <c r="O33" s="34">
        <f>COUNTIF(Calculations_Preferred!$E$3:$E$214,N33)</f>
        <v>1</v>
      </c>
    </row>
    <row r="34">
      <c r="B34" s="39" t="s">
        <v>679</v>
      </c>
      <c r="C34" s="79">
        <f>max(Calculations_Expanded!D3:D214)/M2</f>
        <v>256.2</v>
      </c>
      <c r="N34" s="34" t="s">
        <v>339</v>
      </c>
      <c r="O34" s="34">
        <f>COUNTIF(Calculations_Preferred!$E$3:$E$214,N34)</f>
        <v>1</v>
      </c>
    </row>
    <row r="35">
      <c r="B35" s="39" t="s">
        <v>680</v>
      </c>
      <c r="C35" s="79">
        <f>MIN(Calculations_Expanded!D3:D214)/M2</f>
        <v>1</v>
      </c>
      <c r="N35" s="34" t="s">
        <v>391</v>
      </c>
      <c r="O35" s="34">
        <f>COUNTIF(Calculations_Preferred!$E$3:$E$214,N35)</f>
        <v>1</v>
      </c>
    </row>
    <row r="36">
      <c r="N36" s="34" t="s">
        <v>409</v>
      </c>
      <c r="O36" s="34">
        <f>COUNTIF(Calculations_Preferred!$E$3:$E$214,N36)</f>
        <v>1</v>
      </c>
    </row>
    <row r="37">
      <c r="B37" s="77" t="s">
        <v>818</v>
      </c>
      <c r="C37" s="22"/>
      <c r="N37" s="34" t="s">
        <v>412</v>
      </c>
      <c r="O37" s="34">
        <f>COUNTIF(Calculations_Preferred!$E$3:$E$214,N37)</f>
        <v>1</v>
      </c>
    </row>
    <row r="38">
      <c r="B38" s="39" t="s">
        <v>852</v>
      </c>
      <c r="C38" s="66">
        <f>E14</f>
        <v>785.4</v>
      </c>
      <c r="N38" s="34" t="s">
        <v>423</v>
      </c>
      <c r="O38" s="34">
        <f>COUNTIF(Calculations_Preferred!$E$3:$E$214,N38)</f>
        <v>1</v>
      </c>
    </row>
    <row r="39">
      <c r="B39" s="39" t="s">
        <v>819</v>
      </c>
      <c r="C39" s="34">
        <f>SUM(Calculations_Preferred!D171:D213)/M2</f>
        <v>57.5</v>
      </c>
      <c r="N39" s="34" t="s">
        <v>427</v>
      </c>
      <c r="O39" s="34">
        <f>COUNTIF(Calculations_Preferred!$E$3:$E$214,N39)</f>
        <v>1</v>
      </c>
    </row>
    <row r="40">
      <c r="B40" s="39" t="s">
        <v>820</v>
      </c>
      <c r="C40" s="34">
        <f>SUM(Calculations_Preferred!D42:D168)/M2</f>
        <v>438.6</v>
      </c>
      <c r="N40" s="34" t="s">
        <v>435</v>
      </c>
      <c r="O40" s="34">
        <f>COUNTIF(Calculations_Preferred!$E$3:$E$214,N40)</f>
        <v>1</v>
      </c>
    </row>
    <row r="41">
      <c r="B41" s="68" t="s">
        <v>759</v>
      </c>
      <c r="C41" s="70">
        <f>SUM(C38:C40)</f>
        <v>1281.5</v>
      </c>
      <c r="N41" s="34" t="s">
        <v>509</v>
      </c>
      <c r="O41" s="34">
        <f>COUNTIF(Calculations_Preferred!$E$3:$E$214,N41)</f>
        <v>1</v>
      </c>
    </row>
    <row r="42">
      <c r="N42" s="34" t="s">
        <v>528</v>
      </c>
      <c r="O42" s="34">
        <f>COUNTIF(Calculations_Preferred!$E$3:$E$214,N42)</f>
        <v>1</v>
      </c>
    </row>
    <row r="43">
      <c r="N43" s="34" t="s">
        <v>538</v>
      </c>
      <c r="O43" s="34">
        <f>COUNTIF(Calculations_Preferred!$E$3:$E$214,N43)</f>
        <v>1</v>
      </c>
    </row>
    <row r="44">
      <c r="N44" s="34" t="s">
        <v>546</v>
      </c>
      <c r="O44" s="34">
        <f>COUNTIF(Calculations_Preferred!$E$3:$E$214,N44)</f>
        <v>1</v>
      </c>
    </row>
    <row r="45">
      <c r="N45" s="34" t="s">
        <v>565</v>
      </c>
      <c r="O45" s="34">
        <f>COUNTIF(Calculations_Preferred!$E$3:$E$214,N45)</f>
        <v>1</v>
      </c>
    </row>
    <row r="46">
      <c r="N46" s="34" t="s">
        <v>579</v>
      </c>
      <c r="O46" s="34">
        <f>COUNTIF(Calculations_Preferred!$E$3:$E$214,N46)</f>
        <v>1</v>
      </c>
    </row>
    <row r="47">
      <c r="N47" s="34" t="s">
        <v>586</v>
      </c>
      <c r="O47" s="34">
        <f>COUNTIF(Calculations_Preferred!$E$3:$E$214,N47)</f>
        <v>1</v>
      </c>
    </row>
    <row r="48">
      <c r="N48" s="34" t="s">
        <v>611</v>
      </c>
      <c r="O48" s="34">
        <f>COUNTIF(Calculations_Preferred!$E$3:$E$214,N48)</f>
        <v>1</v>
      </c>
    </row>
    <row r="49">
      <c r="N49" s="34" t="s">
        <v>626</v>
      </c>
      <c r="O49" s="34">
        <f>COUNTIF(Calculations_Preferred!$E$3:$E$214,N49)</f>
        <v>1</v>
      </c>
    </row>
    <row r="50">
      <c r="N50" s="68" t="s">
        <v>681</v>
      </c>
      <c r="O50" s="67">
        <f>SUM(O2:O49)</f>
        <v>212</v>
      </c>
    </row>
  </sheetData>
  <mergeCells count="10">
    <mergeCell ref="B21:D21"/>
    <mergeCell ref="B26:D26"/>
    <mergeCell ref="B37:C37"/>
    <mergeCell ref="B2:H2"/>
    <mergeCell ref="I2:K3"/>
    <mergeCell ref="C3:E3"/>
    <mergeCell ref="F3:H3"/>
    <mergeCell ref="C7:E7"/>
    <mergeCell ref="F7:H7"/>
    <mergeCell ref="B18:D18"/>
  </mergeCells>
  <drawing r:id="rId1"/>
</worksheet>
</file>